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176" tabRatio="893" firstSheet="0" activeTab="1" autoFilterDateGrouping="1"/>
  </bookViews>
  <sheets>
    <sheet xmlns:r="http://schemas.openxmlformats.org/officeDocument/2006/relationships" name="Summary" sheetId="1" state="visible" r:id="rId1"/>
    <sheet xmlns:r="http://schemas.openxmlformats.org/officeDocument/2006/relationships" name="22852- considerations" sheetId="2" state="visible" r:id="rId2"/>
    <sheet xmlns:r="http://schemas.openxmlformats.org/officeDocument/2006/relationships" name="Workpaper" sheetId="3" state="visible" r:id="rId3"/>
    <sheet xmlns:r="http://schemas.openxmlformats.org/officeDocument/2006/relationships" name="AA_PKG_List" sheetId="4" state="hidden" r:id="rId4"/>
  </sheets>
  <externalReferences>
    <externalReference xmlns:r="http://schemas.openxmlformats.org/officeDocument/2006/relationships" r:id="rId5"/>
  </externalReferences>
  <definedNames>
    <definedName name="_Order1" hidden="1">255</definedName>
    <definedName name="_Order2" hidden="1">0</definedName>
    <definedName name="_Regression_X" hidden="1">#REF!</definedName>
    <definedName name="_regression_xx" hidden="1">#REF!</definedName>
    <definedName name="ＡＡ" hidden="1">#REF!</definedName>
    <definedName name="AA_Offerings">'[1]A&amp;A '!$A$3:$A$26</definedName>
    <definedName name="aaaaa" hidden="1">#REF!</definedName>
    <definedName name="aaaaaa" hidden="1">#REF!</definedName>
    <definedName name="ab" hidden="1">#REF!</definedName>
    <definedName name="AS2DocOpenMode" hidden="1">"AS2DocumentEdit"</definedName>
    <definedName name="AS2HasNoAutoHeaderFooter" hidden="1">" "</definedName>
    <definedName name="BBBB" hidden="1">#REF!</definedName>
    <definedName name="DD" hidden="1">#REF!</definedName>
    <definedName name="DUMMY" hidden="1">#REF!</definedName>
    <definedName name="EE" hidden="1">#REF!</definedName>
    <definedName name="ｆｆｆ" hidden="1">#REF!</definedName>
    <definedName name="ｇ" hidden="1">#REF!</definedName>
    <definedName name="ＧＷメッセージ一覧" hidden="1">#REF!</definedName>
    <definedName name="henkou" hidden="1">#REF!</definedName>
    <definedName name="henkou2" hidden="1">#REF!</definedName>
    <definedName name="henkou3" hidden="1">#REF!</definedName>
    <definedName name="henkou4" hidden="1">#REF!</definedName>
    <definedName name="Ｉ" hidden="1">#REF!</definedName>
    <definedName name="ｊ" hidden="1">#REF!</definedName>
    <definedName name="ｋ" hidden="1">#REF!</definedName>
    <definedName name="ｋｋ" hidden="1">#REF!</definedName>
    <definedName name="ｌ" hidden="1">#REF!</definedName>
    <definedName name="ｍ" hidden="1">#REF!</definedName>
    <definedName name="ＭＭＭＭ" hidden="1">#REF!</definedName>
    <definedName name="ｎ" hidden="1">#REF!</definedName>
    <definedName name="ｐ" hidden="1">#REF!</definedName>
    <definedName name="ＰＰ" hidden="1">#REF!</definedName>
    <definedName name="ｑ" hidden="1">#REF!</definedName>
    <definedName name="RD検証" hidden="1">#REF!</definedName>
    <definedName name="s" hidden="1">#REF!</definedName>
    <definedName name="SD" hidden="1">#REF!</definedName>
    <definedName name="ＳＳＳ" hidden="1">#REF!</definedName>
    <definedName name="test" hidden="1">#REF!</definedName>
    <definedName name="TextRefCopyRangeCount" hidden="1">13</definedName>
    <definedName name="u" hidden="1">#REF!</definedName>
    <definedName name="ｖ" hidden="1">#REF!</definedName>
    <definedName name="wrn.Aging._.and._.Trend._.Analysis." hidden="1">{#N/A,#N/A,FALSE,"Aging Summary";#N/A,#N/A,FALSE,"Ratio Analysis";#N/A,#N/A,FALSE,"Test 120 Day Accts";#N/A,#N/A,FALSE,"Tickmarks"}</definedName>
    <definedName name="WW" hidden="1">#REF!</definedName>
    <definedName name="x" hidden="1">#REF!</definedName>
    <definedName name="ｘｘｘ" hidden="1">#REF!</definedName>
    <definedName name="ｘｘｘｘｘｘｘｘｘｘｘｘｘｘ" hidden="1">#REF!</definedName>
    <definedName name="ｙ" hidden="1">#REF!</definedName>
    <definedName name="ｚ" hidden="1">#REF!</definedName>
    <definedName name="ZZZ" hidden="1">#REF!</definedName>
    <definedName name="あああ" hidden="1">#REF!</definedName>
    <definedName name="ああああ" hidden="1">#REF!</definedName>
    <definedName name="サンプル" hidden="1">#REF!</definedName>
    <definedName name="タスクドキュメント１" hidden="1">#REF!</definedName>
    <definedName name="プレーヤー区分" hidden="1">#REF!</definedName>
    <definedName name="住所区分" hidden="1">#REF!</definedName>
    <definedName name="共通部" hidden="1">#REF!</definedName>
    <definedName name="参考出力イメージ" hidden="1">#REF!</definedName>
    <definedName name="外部ユーザ入力情報新" hidden="1">#REF!</definedName>
    <definedName name="安藤" hidden="1">#REF!</definedName>
    <definedName name="改ページ" hidden="1">#REF!</definedName>
    <definedName name="更新履歴" hidden="1">#REF!</definedName>
    <definedName name="束原" hidden="1">#REF!</definedName>
    <definedName name="汎用共通部" hidden="1">#REF!</definedName>
    <definedName name="表1" hidden="1">#REF!</definedName>
    <definedName name="補足説明※２" hidden="1">#REF!</definedName>
    <definedName name="詳細" hidden="1">#REF!</definedName>
    <definedName name="資料" hidden="1">#REF!</definedName>
    <definedName name="関連表" hidden="1">#REF!</definedName>
    <definedName name="項目条件" hidden="1">#REF!</definedName>
    <definedName name="_edn1" localSheetId="0">Summary!#REF!</definedName>
    <definedName name="_ednref1" localSheetId="0">Summary!#REF!</definedName>
    <definedName name="_Regression_X" localSheetId="0" hidden="1">#REF!</definedName>
    <definedName name="_regression_xx" localSheetId="0" hidden="1">#REF!</definedName>
    <definedName name="ＡＡ" localSheetId="0" hidden="1">#REF!</definedName>
    <definedName name="aaaaa" localSheetId="0" hidden="1">#REF!</definedName>
    <definedName name="aaaaaa" localSheetId="0" hidden="1">#REF!</definedName>
    <definedName name="ab" localSheetId="0" hidden="1">#REF!</definedName>
    <definedName name="BBBB" localSheetId="0" hidden="1">#REF!</definedName>
    <definedName name="DD" localSheetId="0" hidden="1">#REF!</definedName>
    <definedName name="DUMMY" localSheetId="0" hidden="1">#REF!</definedName>
    <definedName name="EE" localSheetId="0" hidden="1">#REF!</definedName>
    <definedName name="ｆｆｆ" localSheetId="0" hidden="1">#REF!</definedName>
    <definedName name="ｇ" localSheetId="0" hidden="1">#REF!</definedName>
    <definedName name="ＧＷメッセージ一覧" localSheetId="0" hidden="1">#REF!</definedName>
    <definedName name="henkou" localSheetId="0" hidden="1">#REF!</definedName>
    <definedName name="henkou2" localSheetId="0" hidden="1">#REF!</definedName>
    <definedName name="henkou3" localSheetId="0" hidden="1">#REF!</definedName>
    <definedName name="henkou4" localSheetId="0" hidden="1">#REF!</definedName>
    <definedName name="Ｉ" localSheetId="0" hidden="1">#REF!</definedName>
    <definedName name="ｊ" localSheetId="0" hidden="1">#REF!</definedName>
    <definedName name="ｋ" localSheetId="0" hidden="1">#REF!</definedName>
    <definedName name="ｋｋ" localSheetId="0" hidden="1">#REF!</definedName>
    <definedName name="ｌ" localSheetId="0" hidden="1">#REF!</definedName>
    <definedName name="ｍ" localSheetId="0" hidden="1">#REF!</definedName>
    <definedName name="ＭＭＭＭ" localSheetId="0" hidden="1">#REF!</definedName>
    <definedName name="ｎ" localSheetId="0" hidden="1">#REF!</definedName>
    <definedName name="ｐ" localSheetId="0" hidden="1">#REF!</definedName>
    <definedName name="ＰＰ" localSheetId="0" hidden="1">#REF!</definedName>
    <definedName name="ｑ" localSheetId="0" hidden="1">#REF!</definedName>
    <definedName name="RD検証" localSheetId="0" hidden="1">#REF!</definedName>
    <definedName name="s" localSheetId="0" hidden="1">#REF!</definedName>
    <definedName name="SD" localSheetId="0" hidden="1">#REF!</definedName>
    <definedName name="ＳＳＳ" localSheetId="0" hidden="1">#REF!</definedName>
    <definedName name="test" localSheetId="0" hidden="1">#REF!</definedName>
    <definedName name="u" localSheetId="0" hidden="1">#REF!</definedName>
    <definedName name="ｖ" localSheetId="0" hidden="1">#REF!</definedName>
    <definedName name="wrn.Aging._.and._.Trend._.Analysis." localSheetId="0" hidden="1">{#N/A,#N/A,FALSE,"Aging Summary";#N/A,#N/A,FALSE,"Ratio Analysis";#N/A,#N/A,FALSE,"Test 120 Day Accts";#N/A,#N/A,FALSE,"Tickmarks"}</definedName>
    <definedName name="WW" localSheetId="0" hidden="1">#REF!</definedName>
    <definedName name="x" localSheetId="0" hidden="1">#REF!</definedName>
    <definedName name="ｘｘｘ" localSheetId="0" hidden="1">#REF!</definedName>
    <definedName name="ｘｘｘｘｘｘｘｘｘｘｘｘｘｘ" localSheetId="0" hidden="1">#REF!</definedName>
    <definedName name="ｙ" localSheetId="0" hidden="1">#REF!</definedName>
    <definedName name="ｚ" localSheetId="0" hidden="1">#REF!</definedName>
    <definedName name="ZZZ" localSheetId="0" hidden="1">#REF!</definedName>
    <definedName name="あああ" localSheetId="0" hidden="1">#REF!</definedName>
    <definedName name="ああああ" localSheetId="0" hidden="1">#REF!</definedName>
    <definedName name="サンプル" localSheetId="0" hidden="1">#REF!</definedName>
    <definedName name="タスクドキュメント１" localSheetId="0" hidden="1">#REF!</definedName>
    <definedName name="プレーヤー区分" localSheetId="0" hidden="1">#REF!</definedName>
    <definedName name="住所区分" localSheetId="0" hidden="1">#REF!</definedName>
    <definedName name="共通部" localSheetId="0" hidden="1">#REF!</definedName>
    <definedName name="参考出力イメージ" localSheetId="0" hidden="1">#REF!</definedName>
    <definedName name="外部ユーザ入力情報新" localSheetId="0" hidden="1">#REF!</definedName>
    <definedName name="安藤" localSheetId="0" hidden="1">#REF!</definedName>
    <definedName name="改ページ" localSheetId="0" hidden="1">#REF!</definedName>
    <definedName name="更新履歴" localSheetId="0" hidden="1">#REF!</definedName>
    <definedName name="束原" localSheetId="0" hidden="1">#REF!</definedName>
    <definedName name="汎用共通部" localSheetId="0" hidden="1">#REF!</definedName>
    <definedName name="表1" localSheetId="0" hidden="1">#REF!</definedName>
    <definedName name="補足説明※２" localSheetId="0" hidden="1">#REF!</definedName>
    <definedName name="詳細" localSheetId="0" hidden="1">#REF!</definedName>
    <definedName name="資料" localSheetId="0" hidden="1">#REF!</definedName>
    <definedName name="関連表" localSheetId="0" hidden="1">#REF!</definedName>
    <definedName name="項目条件" localSheetId="0" hidden="1">#REF!</definedName>
    <definedName name="ｇ" localSheetId="3" hidden="1">#REF!</definedName>
    <definedName name="ＰＰ" localSheetId="3" hidden="1">#REF!</definedName>
    <definedName name="ｑ" localSheetId="3" hidden="1">#REF!</definedName>
    <definedName name="wrn.Aging._.and._.Trend._.Analysis." localSheetId="3" hidden="1">{#N/A,#N/A,FALSE,"Aging Summary";#N/A,#N/A,FALSE,"Ratio Analysis";#N/A,#N/A,FALSE,"Test 120 Day Accts";#N/A,#N/A,FALSE,"Tickmarks"}</definedName>
    <definedName name="_xlnm._FilterDatabase" localSheetId="3" hidden="1">'AA_PKG_List'!$A$1:$I$52</definedName>
  </definedNames>
  <calcPr calcId="191028" fullCalcOnLoad="1"/>
</workbook>
</file>

<file path=xl/styles.xml><?xml version="1.0" encoding="utf-8"?>
<styleSheet xmlns="http://schemas.openxmlformats.org/spreadsheetml/2006/main">
  <numFmts count="2">
    <numFmt numFmtId="164" formatCode="_(* #,##0_);_(* \(#,##0\);_(* &quot;-&quot;??_);_(@_)"/>
    <numFmt numFmtId="165" formatCode="#,##0;[Red]\-#,##0;&quot;－&quot;"/>
  </numFmts>
  <fonts count="30">
    <font>
      <name val="Calibri"/>
      <charset val="128"/>
      <family val="2"/>
      <color theme="1"/>
      <sz val="11"/>
      <scheme val="minor"/>
    </font>
    <font>
      <name val="Calibri"/>
      <family val="2"/>
      <color theme="1"/>
      <sz val="11"/>
      <scheme val="minor"/>
    </font>
    <font>
      <name val="Calibri"/>
      <charset val="128"/>
      <family val="2"/>
      <color theme="1"/>
      <sz val="11"/>
      <scheme val="minor"/>
    </font>
    <font>
      <name val="Calibri"/>
      <charset val="128"/>
      <family val="2"/>
      <sz val="6"/>
      <scheme val="minor"/>
    </font>
    <font>
      <name val="ＭＳ ゴシック"/>
      <charset val="128"/>
      <family val="3"/>
      <sz val="11"/>
    </font>
    <font>
      <name val="ＭＳ Ｐゴシック"/>
      <charset val="128"/>
      <family val="3"/>
      <sz val="11"/>
    </font>
    <font>
      <name val="ＭＳ Ｐゴシック"/>
      <charset val="128"/>
      <family val="3"/>
      <sz val="6"/>
    </font>
    <font>
      <name val="Calibri"/>
      <charset val="128"/>
      <family val="3"/>
      <sz val="11"/>
      <scheme val="minor"/>
    </font>
    <font>
      <name val="Calibri"/>
      <charset val="128"/>
      <family val="3"/>
      <color theme="1"/>
      <sz val="11"/>
      <scheme val="minor"/>
    </font>
    <font>
      <name val="ＭＳ Ｐゴシック"/>
      <charset val="128"/>
      <family val="3"/>
      <color indexed="12"/>
      <sz val="11"/>
      <u val="single"/>
    </font>
    <font>
      <name val="Calibri"/>
      <family val="2"/>
      <color theme="1"/>
      <sz val="11"/>
      <scheme val="minor"/>
    </font>
    <font>
      <name val="Calibri"/>
      <charset val="128"/>
      <family val="3"/>
      <color rgb="FFFF0000"/>
      <sz val="11"/>
      <scheme val="minor"/>
    </font>
    <font>
      <name val="Arial"/>
      <family val="2"/>
      <sz val="10"/>
    </font>
    <font>
      <name val="Arial"/>
      <family val="2"/>
      <sz val="8"/>
    </font>
    <font>
      <name val="Arial"/>
      <family val="2"/>
      <color theme="1"/>
      <sz val="8"/>
    </font>
    <font>
      <name val="Arial"/>
      <family val="2"/>
      <b val="1"/>
      <color theme="0"/>
      <sz val="8"/>
    </font>
    <font>
      <name val="Calibri"/>
      <family val="2"/>
      <b val="1"/>
      <color theme="0"/>
      <sz val="11"/>
      <scheme val="minor"/>
    </font>
    <font>
      <name val="Calibri"/>
      <family val="2"/>
      <color rgb="FFFF0000"/>
      <sz val="11"/>
      <scheme val="minor"/>
    </font>
    <font>
      <name val="Calibri"/>
      <family val="2"/>
      <sz val="11"/>
      <scheme val="minor"/>
    </font>
    <font>
      <name val="Calibri"/>
      <family val="2"/>
      <b val="1"/>
      <sz val="11"/>
      <u val="single"/>
      <scheme val="minor"/>
    </font>
    <font>
      <name val="Calibri"/>
      <family val="2"/>
      <b val="1"/>
      <sz val="11"/>
      <scheme val="minor"/>
    </font>
    <font>
      <name val="Calibri"/>
      <family val="2"/>
      <color theme="4"/>
      <sz val="11"/>
      <scheme val="minor"/>
    </font>
    <font>
      <name val="Calibri"/>
      <family val="2"/>
      <b val="1"/>
      <color theme="4"/>
      <sz val="11"/>
      <scheme val="minor"/>
    </font>
    <font>
      <name val="Calibri Light"/>
      <family val="2"/>
      <b val="1"/>
      <color theme="1"/>
      <sz val="10"/>
    </font>
    <font>
      <name val="Calibri Light"/>
      <family val="2"/>
      <b val="1"/>
      <color rgb="FF000000"/>
      <sz val="10"/>
    </font>
    <font>
      <name val="Calibri Light"/>
      <family val="2"/>
      <color theme="1"/>
      <sz val="10"/>
    </font>
    <font>
      <name val="Times New Roman"/>
      <family val="1"/>
      <color rgb="FF000000"/>
      <sz val="8"/>
    </font>
    <font>
      <name val="Symbol"/>
      <charset val="2"/>
      <family val="1"/>
      <color theme="1"/>
      <sz val="10"/>
    </font>
    <font>
      <name val="Times New Roman"/>
      <family val="1"/>
      <color theme="1"/>
      <sz val="7"/>
    </font>
    <font>
      <name val="Calibri"/>
      <color theme="1"/>
      <sz val="10"/>
    </font>
  </fonts>
  <fills count="10">
    <fill>
      <patternFill/>
    </fill>
    <fill>
      <patternFill patternType="gray125"/>
    </fill>
    <fill>
      <patternFill patternType="solid">
        <fgColor theme="0"/>
        <bgColor indexed="64"/>
      </patternFill>
    </fill>
    <fill>
      <patternFill patternType="solid">
        <fgColor theme="2"/>
        <bgColor indexed="64"/>
      </patternFill>
    </fill>
    <fill>
      <patternFill patternType="solid">
        <fgColor rgb="FF002060"/>
        <bgColor indexed="64"/>
      </patternFill>
    </fill>
    <fill>
      <patternFill patternType="solid">
        <fgColor rgb="FFFFFF00"/>
        <bgColor indexed="64"/>
      </patternFill>
    </fill>
    <fill>
      <patternFill patternType="solid">
        <fgColor rgb="FF92D400"/>
        <bgColor indexed="64"/>
      </patternFill>
    </fill>
    <fill>
      <patternFill patternType="solid">
        <fgColor theme="7" tint="0.7999816888943144"/>
        <bgColor indexed="64"/>
      </patternFill>
    </fill>
    <fill>
      <patternFill patternType="solid">
        <fgColor rgb="FF002677"/>
        <bgColor indexed="64"/>
      </patternFill>
    </fill>
    <fill>
      <patternFill patternType="solid">
        <fgColor rgb="FFD0CECE"/>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right/>
      <top/>
      <bottom style="thin">
        <color indexed="64"/>
      </bottom>
      <diagonal/>
    </border>
    <border>
      <left/>
      <right/>
      <top style="medium">
        <color indexed="64"/>
      </top>
      <bottom/>
      <diagonal/>
    </border>
    <border>
      <left/>
      <right/>
      <top style="thick">
        <color rgb="FF63666A"/>
      </top>
      <bottom/>
      <diagonal/>
    </border>
    <border>
      <left/>
      <right/>
      <top/>
      <bottom style="medium">
        <color rgb="FF000000"/>
      </bottom>
      <diagonal/>
    </border>
    <border>
      <left/>
      <right/>
      <top style="thick">
        <color rgb="FF63666A"/>
      </top>
      <bottom style="medium">
        <color indexed="64"/>
      </bottom>
      <diagonal/>
    </border>
    <border>
      <left/>
      <right/>
      <top style="medium">
        <color indexed="64"/>
      </top>
      <bottom style="thin">
        <color indexed="64"/>
      </bottom>
      <diagonal/>
    </border>
  </borders>
  <cellStyleXfs count="19">
    <xf numFmtId="0" fontId="2" fillId="0" borderId="0" applyAlignment="1">
      <alignment vertical="center"/>
    </xf>
    <xf numFmtId="165" fontId="4" fillId="0" borderId="0" applyAlignment="1">
      <alignment vertical="top"/>
    </xf>
    <xf numFmtId="38" fontId="2" fillId="0" borderId="0" applyAlignment="1">
      <alignment vertical="center"/>
    </xf>
    <xf numFmtId="0" fontId="2" fillId="0" borderId="0" applyAlignment="1">
      <alignment vertical="center"/>
    </xf>
    <xf numFmtId="0" fontId="2" fillId="0" borderId="0" applyAlignment="1">
      <alignment vertical="center"/>
    </xf>
    <xf numFmtId="0" fontId="2" fillId="0" borderId="0" applyAlignment="1">
      <alignment vertical="center"/>
    </xf>
    <xf numFmtId="38" fontId="2" fillId="0" borderId="0" applyAlignment="1">
      <alignment vertical="center"/>
    </xf>
    <xf numFmtId="0" fontId="5" fillId="0" borderId="0" applyAlignment="1">
      <alignment vertical="center"/>
    </xf>
    <xf numFmtId="38" fontId="5" fillId="0" borderId="0" applyAlignment="1">
      <alignment vertical="center"/>
    </xf>
    <xf numFmtId="0" fontId="9" fillId="0" borderId="0" applyAlignment="1" applyProtection="1">
      <alignment vertical="top"/>
      <protection locked="0" hidden="0"/>
    </xf>
    <xf numFmtId="38" fontId="10" fillId="0" borderId="0" applyAlignment="1">
      <alignment vertical="center"/>
    </xf>
    <xf numFmtId="0" fontId="10" fillId="0" borderId="0"/>
    <xf numFmtId="0" fontId="2" fillId="0" borderId="0" applyAlignment="1">
      <alignment vertical="center"/>
    </xf>
    <xf numFmtId="165" fontId="4" fillId="0" borderId="0" applyAlignment="1">
      <alignment vertical="top"/>
    </xf>
    <xf numFmtId="0" fontId="12" fillId="0" borderId="0"/>
    <xf numFmtId="0" fontId="12" fillId="0" borderId="0"/>
    <xf numFmtId="0" fontId="10" fillId="0" borderId="0"/>
    <xf numFmtId="0" fontId="12" fillId="0" borderId="0"/>
    <xf numFmtId="43" fontId="2" fillId="0" borderId="0"/>
  </cellStyleXfs>
  <cellXfs count="116">
    <xf numFmtId="0" fontId="0" fillId="0" borderId="0" applyAlignment="1" pivotButton="0" quotePrefix="0" xfId="0">
      <alignment vertical="center"/>
    </xf>
    <xf numFmtId="38" fontId="7" fillId="0" borderId="0" applyAlignment="1" pivotButton="0" quotePrefix="0" xfId="1">
      <alignment vertical="center"/>
    </xf>
    <xf numFmtId="0" fontId="8" fillId="0" borderId="1" applyAlignment="1" pivotButton="0" quotePrefix="0" xfId="0">
      <alignment vertical="center" wrapText="1"/>
    </xf>
    <xf numFmtId="38" fontId="7" fillId="0" borderId="1" applyAlignment="1" pivotButton="0" quotePrefix="0" xfId="1">
      <alignment vertical="center" wrapText="1"/>
    </xf>
    <xf numFmtId="38" fontId="7" fillId="0" borderId="0" applyAlignment="1" pivotButton="0" quotePrefix="0" xfId="1">
      <alignment vertical="center" wrapText="1"/>
    </xf>
    <xf numFmtId="0" fontId="8" fillId="3" borderId="1" applyAlignment="1" pivotButton="0" quotePrefix="0" xfId="0">
      <alignment horizontal="center" vertical="center"/>
    </xf>
    <xf numFmtId="0" fontId="8" fillId="0" borderId="1" applyAlignment="1" pivotButton="0" quotePrefix="0" xfId="0">
      <alignment horizontal="center" vertical="center"/>
    </xf>
    <xf numFmtId="38" fontId="7" fillId="0" borderId="0" applyAlignment="1" pivotButton="0" quotePrefix="0" xfId="1">
      <alignment horizontal="center" vertical="center"/>
    </xf>
    <xf numFmtId="38" fontId="7" fillId="0" borderId="1" applyAlignment="1" pivotButton="0" quotePrefix="0" xfId="1">
      <alignment horizontal="center" vertical="center"/>
    </xf>
    <xf numFmtId="0" fontId="8" fillId="3" borderId="1" applyAlignment="1" pivotButton="0" quotePrefix="0" xfId="0">
      <alignment horizontal="center" vertical="center" wrapText="1"/>
    </xf>
    <xf numFmtId="38" fontId="7" fillId="0" borderId="1" applyAlignment="1" pivotButton="0" quotePrefix="0" xfId="1">
      <alignment vertical="center"/>
    </xf>
    <xf numFmtId="38" fontId="7" fillId="3" borderId="1" applyAlignment="1" pivotButton="0" quotePrefix="0" xfId="1">
      <alignment horizontal="center" vertical="center" wrapText="1"/>
    </xf>
    <xf numFmtId="38" fontId="11" fillId="5" borderId="1" applyAlignment="1" pivotButton="0" quotePrefix="0" xfId="1">
      <alignment vertical="center" wrapText="1"/>
    </xf>
    <xf numFmtId="49" fontId="8" fillId="0" borderId="1" applyAlignment="1" pivotButton="0" quotePrefix="0" xfId="0">
      <alignment horizontal="center" vertical="center"/>
    </xf>
    <xf numFmtId="38" fontId="7" fillId="0" borderId="0" pivotButton="0" quotePrefix="0" xfId="1"/>
    <xf numFmtId="0" fontId="13" fillId="0" borderId="0" applyAlignment="1" pivotButton="0" quotePrefix="0" xfId="15">
      <alignment vertical="top"/>
    </xf>
    <xf numFmtId="0" fontId="14" fillId="0" borderId="0" applyAlignment="1" pivotButton="0" quotePrefix="0" xfId="16">
      <alignment vertical="top"/>
    </xf>
    <xf numFmtId="0" fontId="15" fillId="8" borderId="11" applyAlignment="1" pivotButton="0" quotePrefix="0" xfId="17">
      <alignment vertical="top" wrapText="1"/>
    </xf>
    <xf numFmtId="0" fontId="13" fillId="6" borderId="1" applyAlignment="1" pivotButton="0" quotePrefix="0" xfId="15">
      <alignment horizontal="left" vertical="top" wrapText="1"/>
    </xf>
    <xf numFmtId="0" fontId="13" fillId="0" borderId="0" applyAlignment="1" pivotButton="0" quotePrefix="0" xfId="15">
      <alignment vertical="top" wrapText="1"/>
    </xf>
    <xf numFmtId="0" fontId="13" fillId="6" borderId="1" applyAlignment="1" pivotButton="0" quotePrefix="0" xfId="17">
      <alignment horizontal="left"/>
    </xf>
    <xf numFmtId="0" fontId="13" fillId="0" borderId="1" applyAlignment="1" pivotButton="0" quotePrefix="0" xfId="15">
      <alignment vertical="top" wrapText="1"/>
    </xf>
    <xf numFmtId="0" fontId="15" fillId="8" borderId="1" applyAlignment="1" pivotButton="0" quotePrefix="0" xfId="17">
      <alignment vertical="top" wrapText="1"/>
    </xf>
    <xf numFmtId="0" fontId="13" fillId="2" borderId="0" applyAlignment="1" pivotButton="0" quotePrefix="0" xfId="15">
      <alignment vertical="top"/>
    </xf>
    <xf numFmtId="0" fontId="15" fillId="8" borderId="1" applyAlignment="1" pivotButton="0" quotePrefix="0" xfId="15">
      <alignment horizontal="center" vertical="top" wrapText="1"/>
    </xf>
    <xf numFmtId="0" fontId="15" fillId="8" borderId="1" applyAlignment="1" pivotButton="0" quotePrefix="0" xfId="16">
      <alignment horizontal="center" vertical="top" wrapText="1"/>
    </xf>
    <xf numFmtId="38" fontId="18" fillId="0" borderId="0" applyAlignment="1" pivotButton="0" quotePrefix="0" xfId="1">
      <alignment vertical="center"/>
    </xf>
    <xf numFmtId="38" fontId="19" fillId="0" borderId="0" applyAlignment="1" pivotButton="0" quotePrefix="0" xfId="1">
      <alignment vertical="center"/>
    </xf>
    <xf numFmtId="38" fontId="18" fillId="0" borderId="0" applyAlignment="1" pivotButton="0" quotePrefix="0" xfId="1">
      <alignment horizontal="left" vertical="top" wrapText="1"/>
    </xf>
    <xf numFmtId="38" fontId="20" fillId="0" borderId="0" applyAlignment="1" pivotButton="0" quotePrefix="0" xfId="1">
      <alignment vertical="center"/>
    </xf>
    <xf numFmtId="38" fontId="17" fillId="0" borderId="0" applyAlignment="1" pivotButton="0" quotePrefix="0" xfId="1">
      <alignment vertical="top" wrapText="1"/>
    </xf>
    <xf numFmtId="38" fontId="18" fillId="0" borderId="0" applyAlignment="1" pivotButton="0" quotePrefix="0" xfId="1">
      <alignment vertical="top"/>
    </xf>
    <xf numFmtId="38" fontId="18" fillId="0" borderId="0" applyAlignment="1" pivotButton="0" quotePrefix="0" xfId="1">
      <alignment vertical="top" wrapText="1"/>
    </xf>
    <xf numFmtId="38" fontId="17" fillId="0" borderId="0" applyAlignment="1" pivotButton="0" quotePrefix="0" xfId="1">
      <alignment vertical="top"/>
    </xf>
    <xf numFmtId="38" fontId="16" fillId="4" borderId="8" applyAlignment="1" pivotButton="0" quotePrefix="0" xfId="10">
      <alignment horizontal="center" vertical="top" wrapText="1"/>
    </xf>
    <xf numFmtId="38" fontId="18" fillId="0" borderId="1" applyAlignment="1" applyProtection="1" pivotButton="0" quotePrefix="0" xfId="1">
      <alignment vertical="center" wrapText="1"/>
      <protection locked="0" hidden="0"/>
    </xf>
    <xf numFmtId="38" fontId="20" fillId="0" borderId="0" applyAlignment="1" pivotButton="0" quotePrefix="0" xfId="1">
      <alignment vertical="top"/>
    </xf>
    <xf numFmtId="0" fontId="23" fillId="0" borderId="15" applyAlignment="1" pivotButton="0" quotePrefix="0" xfId="0">
      <alignment vertical="top" wrapText="1"/>
    </xf>
    <xf numFmtId="0" fontId="25" fillId="0" borderId="15" applyAlignment="1" pivotButton="0" quotePrefix="0" xfId="0">
      <alignment vertical="top" wrapText="1"/>
    </xf>
    <xf numFmtId="0" fontId="25" fillId="0" borderId="15" applyAlignment="1" pivotButton="0" quotePrefix="0" xfId="0">
      <alignment horizontal="justify" vertical="top" wrapText="1"/>
    </xf>
    <xf numFmtId="0" fontId="23" fillId="9" borderId="16" applyAlignment="1" pivotButton="0" quotePrefix="0" xfId="0">
      <alignment horizontal="center" vertical="center" wrapText="1"/>
    </xf>
    <xf numFmtId="0" fontId="24" fillId="9" borderId="16" applyAlignment="1" pivotButton="0" quotePrefix="0" xfId="0">
      <alignment horizontal="center" vertical="center" wrapText="1"/>
    </xf>
    <xf numFmtId="0" fontId="27" fillId="0" borderId="0" applyAlignment="1" pivotButton="0" quotePrefix="0" xfId="0">
      <alignment horizontal="left" vertical="center" wrapText="1"/>
    </xf>
    <xf numFmtId="0" fontId="1" fillId="0" borderId="0" applyAlignment="1" pivotButton="0" quotePrefix="0" xfId="0">
      <alignment vertical="center"/>
    </xf>
    <xf numFmtId="0" fontId="25" fillId="0" borderId="0" applyAlignment="1" pivotButton="0" quotePrefix="0" xfId="0">
      <alignment horizontal="center" vertical="center" wrapText="1"/>
    </xf>
    <xf numFmtId="0" fontId="27" fillId="0" borderId="13" applyAlignment="1" pivotButton="0" quotePrefix="0" xfId="0">
      <alignment horizontal="left" vertical="center" wrapText="1"/>
    </xf>
    <xf numFmtId="0" fontId="27" fillId="0" borderId="12" applyAlignment="1" pivotButton="0" quotePrefix="0" xfId="0">
      <alignment horizontal="left" vertical="center" wrapText="1"/>
    </xf>
    <xf numFmtId="164" fontId="21" fillId="0" borderId="7" applyAlignment="1" applyProtection="1" pivotButton="0" quotePrefix="0" xfId="18">
      <alignment horizontal="left" vertical="center" wrapText="1"/>
      <protection locked="0" hidden="0"/>
    </xf>
    <xf numFmtId="164" fontId="21" fillId="0" borderId="8" applyAlignment="1" applyProtection="1" pivotButton="0" quotePrefix="0" xfId="18">
      <alignment horizontal="left" vertical="center" wrapText="1"/>
      <protection locked="0" hidden="0"/>
    </xf>
    <xf numFmtId="38" fontId="18" fillId="0" borderId="1" applyAlignment="1" pivotButton="0" quotePrefix="0" xfId="1">
      <alignment horizontal="left" vertical="top" wrapText="1"/>
    </xf>
    <xf numFmtId="164" fontId="22" fillId="0" borderId="1" applyAlignment="1" pivotButton="0" quotePrefix="0" xfId="18">
      <alignment vertical="center" wrapText="1"/>
    </xf>
    <xf numFmtId="38" fontId="18" fillId="0" borderId="7" applyAlignment="1" pivotButton="0" quotePrefix="0" xfId="0">
      <alignment horizontal="left" vertical="top" wrapText="1"/>
    </xf>
    <xf numFmtId="38" fontId="18" fillId="0" borderId="9" applyAlignment="1" pivotButton="0" quotePrefix="0" xfId="0">
      <alignment horizontal="left" vertical="top" wrapText="1"/>
    </xf>
    <xf numFmtId="38" fontId="18" fillId="0" borderId="8" applyAlignment="1" pivotButton="0" quotePrefix="0" xfId="0">
      <alignment horizontal="left" vertical="top" wrapText="1"/>
    </xf>
    <xf numFmtId="164" fontId="21" fillId="0" borderId="7" applyAlignment="1" applyProtection="1" pivotButton="0" quotePrefix="0" xfId="18">
      <alignment vertical="center" wrapText="1"/>
      <protection locked="0" hidden="0"/>
    </xf>
    <xf numFmtId="164" fontId="21" fillId="0" borderId="8" applyAlignment="1" applyProtection="1" pivotButton="0" quotePrefix="0" xfId="18">
      <alignment vertical="center" wrapText="1"/>
      <protection locked="0" hidden="0"/>
    </xf>
    <xf numFmtId="38" fontId="16" fillId="4" borderId="7" applyAlignment="1" pivotButton="0" quotePrefix="0" xfId="10">
      <alignment horizontal="center" vertical="top" wrapText="1"/>
    </xf>
    <xf numFmtId="38" fontId="16" fillId="4" borderId="9" applyAlignment="1" pivotButton="0" quotePrefix="0" xfId="10">
      <alignment horizontal="center" vertical="top" wrapText="1"/>
    </xf>
    <xf numFmtId="38" fontId="16" fillId="4" borderId="8" applyAlignment="1" pivotButton="0" quotePrefix="0" xfId="10">
      <alignment horizontal="center" vertical="top" wrapText="1"/>
    </xf>
    <xf numFmtId="164" fontId="21" fillId="0" borderId="1" applyAlignment="1" applyProtection="1" pivotButton="0" quotePrefix="0" xfId="18">
      <alignment vertical="center" wrapText="1"/>
      <protection locked="0" hidden="0"/>
    </xf>
    <xf numFmtId="38" fontId="16" fillId="4" borderId="7" applyAlignment="1" pivotButton="0" quotePrefix="0" xfId="10">
      <alignment horizontal="left" vertical="top" wrapText="1"/>
    </xf>
    <xf numFmtId="38" fontId="16" fillId="4" borderId="9" applyAlignment="1" pivotButton="0" quotePrefix="0" xfId="10">
      <alignment horizontal="left" vertical="top" wrapText="1"/>
    </xf>
    <xf numFmtId="38" fontId="16" fillId="4" borderId="8" applyAlignment="1" pivotButton="0" quotePrefix="0" xfId="10">
      <alignment horizontal="left" vertical="top" wrapText="1"/>
    </xf>
    <xf numFmtId="0" fontId="1" fillId="7" borderId="2" applyAlignment="1" pivotButton="0" quotePrefix="0" xfId="0">
      <alignment horizontal="left" vertical="center" wrapText="1"/>
    </xf>
    <xf numFmtId="0" fontId="1" fillId="7" borderId="3" applyAlignment="1" pivotButton="0" quotePrefix="0" xfId="0">
      <alignment horizontal="left" vertical="center" wrapText="1"/>
    </xf>
    <xf numFmtId="0" fontId="1" fillId="7" borderId="4" applyAlignment="1" pivotButton="0" quotePrefix="0" xfId="0">
      <alignment horizontal="left" vertical="center" wrapText="1"/>
    </xf>
    <xf numFmtId="0" fontId="1" fillId="7" borderId="11" applyAlignment="1" pivotButton="0" quotePrefix="0" xfId="0">
      <alignment horizontal="left" vertical="center" wrapText="1"/>
    </xf>
    <xf numFmtId="0" fontId="1" fillId="7" borderId="0" applyAlignment="1" pivotButton="0" quotePrefix="0" xfId="0">
      <alignment horizontal="left" vertical="center" wrapText="1"/>
    </xf>
    <xf numFmtId="0" fontId="1" fillId="7" borderId="10" applyAlignment="1" pivotButton="0" quotePrefix="0" xfId="0">
      <alignment horizontal="left" vertical="center" wrapText="1"/>
    </xf>
    <xf numFmtId="0" fontId="1" fillId="7" borderId="5" applyAlignment="1" pivotButton="0" quotePrefix="0" xfId="0">
      <alignment horizontal="left" vertical="center" wrapText="1"/>
    </xf>
    <xf numFmtId="0" fontId="1" fillId="7" borderId="12" applyAlignment="1" pivotButton="0" quotePrefix="0" xfId="0">
      <alignment horizontal="left" vertical="center" wrapText="1"/>
    </xf>
    <xf numFmtId="0" fontId="1" fillId="7" borderId="6" applyAlignment="1" pivotButton="0" quotePrefix="0" xfId="0">
      <alignment horizontal="left" vertical="center" wrapText="1"/>
    </xf>
    <xf numFmtId="0" fontId="25" fillId="0" borderId="13" applyAlignment="1" pivotButton="0" quotePrefix="0" xfId="0">
      <alignment horizontal="center" vertical="center" wrapText="1"/>
    </xf>
    <xf numFmtId="0" fontId="25" fillId="0" borderId="0" applyAlignment="1" pivotButton="0" quotePrefix="0" xfId="0">
      <alignment horizontal="center" vertical="center" wrapText="1"/>
    </xf>
    <xf numFmtId="0" fontId="25" fillId="0" borderId="12" applyAlignment="1" pivotButton="0" quotePrefix="0" xfId="0">
      <alignment horizontal="center" vertical="center" wrapText="1"/>
    </xf>
    <xf numFmtId="0" fontId="23" fillId="9" borderId="14" applyAlignment="1" pivotButton="0" quotePrefix="0" xfId="0">
      <alignment horizontal="left" vertical="top" wrapText="1"/>
    </xf>
    <xf numFmtId="0" fontId="24" fillId="9" borderId="0" applyAlignment="1" pivotButton="0" quotePrefix="0" xfId="0">
      <alignment horizontal="left" vertical="top" wrapText="1"/>
    </xf>
    <xf numFmtId="0" fontId="24" fillId="9" borderId="15" applyAlignment="1" pivotButton="0" quotePrefix="0" xfId="0">
      <alignment horizontal="left" vertical="top" wrapText="1"/>
    </xf>
    <xf numFmtId="0" fontId="13" fillId="7" borderId="7" applyAlignment="1" pivotButton="0" quotePrefix="0" xfId="15">
      <alignment horizontal="left" vertical="top" wrapText="1"/>
    </xf>
    <xf numFmtId="0" fontId="13" fillId="7" borderId="8" applyAlignment="1" pivotButton="0" quotePrefix="0" xfId="15">
      <alignment horizontal="left" vertical="top" wrapText="1"/>
    </xf>
    <xf numFmtId="0" fontId="13" fillId="0" borderId="0" applyAlignment="1" pivotButton="0" quotePrefix="0" xfId="15">
      <alignment horizontal="center" vertical="top"/>
    </xf>
    <xf numFmtId="0" fontId="13" fillId="0" borderId="0" applyAlignment="1" pivotButton="0" quotePrefix="0" xfId="15">
      <alignment horizontal="left" vertical="top" wrapText="1"/>
    </xf>
    <xf numFmtId="0" fontId="13" fillId="0" borderId="0" applyAlignment="1" pivotButton="0" quotePrefix="0" xfId="15">
      <alignment horizontal="left" vertical="top" wrapText="1" indent="1"/>
    </xf>
    <xf numFmtId="0" fontId="13" fillId="0" borderId="1" applyAlignment="1" pivotButton="0" quotePrefix="0" xfId="15">
      <alignment horizontal="left" vertical="center" wrapText="1"/>
    </xf>
    <xf numFmtId="0" fontId="13" fillId="0" borderId="1" applyAlignment="1" pivotButton="0" quotePrefix="0" xfId="15">
      <alignment horizontal="center" vertical="center"/>
    </xf>
    <xf numFmtId="0" fontId="0" fillId="0" borderId="0" pivotButton="0" quotePrefix="0" xfId="0"/>
    <xf numFmtId="38" fontId="16" fillId="4" borderId="1" applyAlignment="1" pivotButton="0" quotePrefix="0" xfId="10">
      <alignment horizontal="left" vertical="top" wrapText="1"/>
    </xf>
    <xf numFmtId="0" fontId="0" fillId="0" borderId="9" pivotButton="0" quotePrefix="0" xfId="0"/>
    <xf numFmtId="0" fontId="0" fillId="0" borderId="8" pivotButton="0" quotePrefix="0" xfId="0"/>
    <xf numFmtId="0" fontId="1" fillId="7" borderId="1" applyAlignment="1" pivotButton="0" quotePrefix="0" xfId="0">
      <alignment horizontal="left" vertical="center" wrapText="1"/>
    </xf>
    <xf numFmtId="0" fontId="0" fillId="0" borderId="3" pivotButton="0" quotePrefix="0" xfId="0"/>
    <xf numFmtId="0" fontId="0" fillId="0" borderId="4"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12" pivotButton="0" quotePrefix="0" xfId="0"/>
    <xf numFmtId="0" fontId="0" fillId="0" borderId="6" pivotButton="0" quotePrefix="0" xfId="0"/>
    <xf numFmtId="0" fontId="0" fillId="0" borderId="14" pivotButton="0" quotePrefix="0" xfId="0"/>
    <xf numFmtId="0" fontId="0" fillId="0" borderId="15" pivotButton="0" quotePrefix="0" xfId="0"/>
    <xf numFmtId="0" fontId="2" fillId="0" borderId="0" pivotButton="0" quotePrefix="0" xfId="0"/>
    <xf numFmtId="0" fontId="25" fillId="0" borderId="17" applyAlignment="1" pivotButton="0" quotePrefix="0" xfId="0">
      <alignment horizontal="center" vertical="center" wrapText="1"/>
    </xf>
    <xf numFmtId="0" fontId="29" fillId="0" borderId="13" applyAlignment="1" pivotButton="0" quotePrefix="0" xfId="0">
      <alignment horizontal="left" vertical="center" wrapText="1"/>
    </xf>
    <xf numFmtId="0" fontId="29" fillId="0" borderId="0" applyAlignment="1" pivotButton="0" quotePrefix="0" xfId="0">
      <alignment horizontal="left" vertical="center" wrapText="1"/>
    </xf>
    <xf numFmtId="0" fontId="29" fillId="0" borderId="12" applyAlignment="1" pivotButton="0" quotePrefix="0" xfId="0">
      <alignment horizontal="left" vertical="center" wrapText="1"/>
    </xf>
    <xf numFmtId="38" fontId="18" fillId="0" borderId="0" applyAlignment="1" pivotButton="0" quotePrefix="0" xfId="0">
      <alignment vertical="top" wrapText="1"/>
    </xf>
    <xf numFmtId="38" fontId="16" fillId="4" borderId="1" applyAlignment="1" pivotButton="0" quotePrefix="0" xfId="10">
      <alignment horizontal="center" vertical="top" wrapText="1"/>
    </xf>
    <xf numFmtId="0" fontId="18" fillId="0" borderId="1" applyAlignment="1" pivotButton="0" quotePrefix="0" xfId="0">
      <alignment horizontal="left" vertical="top" wrapText="1"/>
    </xf>
    <xf numFmtId="164" fontId="21" fillId="0" borderId="1" applyAlignment="1" applyProtection="1" pivotButton="0" quotePrefix="0" xfId="18">
      <alignment vertical="center" wrapText="1"/>
      <protection locked="0" hidden="0"/>
    </xf>
    <xf numFmtId="0" fontId="21" fillId="0" borderId="1" applyAlignment="1" applyProtection="1" pivotButton="0" quotePrefix="0" xfId="0">
      <alignment vertical="center" wrapText="1"/>
      <protection locked="0" hidden="0"/>
    </xf>
    <xf numFmtId="38" fontId="18" fillId="0" borderId="1" applyAlignment="1" pivotButton="0" quotePrefix="0" xfId="0">
      <alignment horizontal="left" vertical="top" wrapText="1"/>
    </xf>
    <xf numFmtId="38" fontId="22" fillId="0" borderId="1" applyAlignment="1" pivotButton="0" quotePrefix="0" xfId="1">
      <alignment vertical="center" wrapText="1"/>
    </xf>
    <xf numFmtId="0" fontId="22" fillId="0" borderId="1" applyAlignment="1" pivotButton="0" quotePrefix="0" xfId="0">
      <alignment vertical="center" wrapText="1"/>
    </xf>
    <xf numFmtId="164" fontId="22" fillId="0" borderId="1" applyAlignment="1" pivotButton="0" quotePrefix="0" xfId="18">
      <alignment vertical="center" wrapText="1"/>
    </xf>
    <xf numFmtId="0" fontId="13" fillId="7" borderId="1" applyAlignment="1" pivotButton="0" quotePrefix="0" xfId="15">
      <alignment horizontal="left" vertical="top" wrapText="1"/>
    </xf>
    <xf numFmtId="0" fontId="13" fillId="0" borderId="1" applyAlignment="1" pivotButton="0" quotePrefix="0" xfId="0">
      <alignment horizontal="center" vertical="center"/>
    </xf>
    <xf numFmtId="0" fontId="13" fillId="0" borderId="1" applyAlignment="1" pivotButton="0" quotePrefix="0" xfId="0">
      <alignment horizontal="left" vertical="center" wrapText="1"/>
    </xf>
  </cellXfs>
  <cellStyles count="19">
    <cellStyle name="Normal" xfId="0" builtinId="0"/>
    <cellStyle name="標準 20" xfId="1"/>
    <cellStyle name="桁区切り 2 2" xfId="2"/>
    <cellStyle name="標準 2 4" xfId="3"/>
    <cellStyle name="標準 7 2" xfId="4"/>
    <cellStyle name="標準 16 2" xfId="5"/>
    <cellStyle name="桁区切り 3 2" xfId="6"/>
    <cellStyle name="標準 2 3" xfId="7"/>
    <cellStyle name="桁区切り 2" xfId="8"/>
    <cellStyle name="ハイパーリンク 2" xfId="9"/>
    <cellStyle name="桁区切り 3" xfId="10"/>
    <cellStyle name="標準 2" xfId="11"/>
    <cellStyle name="標準 16 2 3" xfId="12"/>
    <cellStyle name="標準 2 2" xfId="13"/>
    <cellStyle name="標準 3" xfId="14"/>
    <cellStyle name="Normal 2 2" xfId="15"/>
    <cellStyle name="標準 2 2 2" xfId="16"/>
    <cellStyle name="Normal_SHEET" xfId="17"/>
    <cellStyle name="Comma" xfId="18" builtinId="3"/>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Author</author>
  </authors>
  <commentList>
    <comment ref="D28" authorId="0" shapeId="0">
      <text>
        <t>[Threaded comment]
Your version of Excel allows you to read this threaded comment; however, any edits to it will get removed if the file is opened in a newer version of Excel. Learn more: https://go.microsoft.com/fwlink/?linkid=870924
Comment:
    Team lead</t>
      </text>
    </comment>
    <comment ref="B86" authorId="0" shapeId="0">
      <text>
        <t>[Threaded comment]
Your version of Excel allows you to read this threaded comment; however, any edits to it will get removed if the file is opened in a newer version of Excel. Learn more: https://go.microsoft.com/fwlink/?linkid=870924
Comment:
    Team Lead/Checker</t>
      </text>
    </comment>
  </commentList>
</comments>
</file>

<file path=xl/externalLinks/_rels/externalLink1.xml.rels><Relationships xmlns="http://schemas.openxmlformats.org/package/2006/relationships"><Relationship Type="http://schemas.openxmlformats.org/officeDocument/2006/relationships/externalLinkPath" Target="file:///\\JPDATFV0070\Redirect$\Documents%20and%20Settings\glihou\Local%20Settings\Temporary%20Internet%20Files\OLK61\Product%20Codes-Task%20List%20-%20Workings.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Overview"/>
      <sheetName val="Tasks by Task List"/>
      <sheetName val="Existing Products"/>
      <sheetName val="Sheet3"/>
      <sheetName val="New Products (2)"/>
      <sheetName val="Eng List"/>
      <sheetName val="Sheet1"/>
      <sheetName val="A&amp;A "/>
      <sheetName val=" CON"/>
      <sheetName val="CRG"/>
      <sheetName val="DCF"/>
      <sheetName val="DGS"/>
      <sheetName val="ECL"/>
      <sheetName val="RSK"/>
      <sheetName val="FOR"/>
      <sheetName val="TAX"/>
      <sheetName val="TRO"/>
      <sheetName val="D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V91"/>
  <sheetViews>
    <sheetView showGridLines="1" topLeftCell="C28" zoomScale="82" zoomScaleNormal="100" workbookViewId="0">
      <selection activeCell="E35" sqref="E35"/>
    </sheetView>
  </sheetViews>
  <sheetFormatPr baseColWidth="8" defaultColWidth="9" defaultRowHeight="13.5" customHeight="1"/>
  <cols>
    <col width="3.21875" customWidth="1" style="26" min="1" max="1"/>
    <col width="38.21875" bestFit="1" customWidth="1" style="26" min="2" max="2"/>
    <col width="34.44140625" customWidth="1" style="26" min="3" max="3"/>
    <col width="17" customWidth="1" style="26" min="4" max="4"/>
    <col width="40.44140625" bestFit="1" customWidth="1" style="26" min="5" max="5"/>
    <col width="29.44140625" customWidth="1" style="26" min="6" max="6"/>
    <col width="38" customWidth="1" style="26" min="7" max="7"/>
    <col width="13.21875" customWidth="1" style="26" min="8" max="8"/>
    <col width="23.5546875" customWidth="1" style="26" min="9" max="9"/>
    <col width="13.88671875" customWidth="1" style="26" min="10" max="10"/>
    <col width="13.21875" customWidth="1" style="26" min="11" max="11"/>
    <col width="5" customWidth="1" style="26" min="12" max="16"/>
    <col width="12.77734375" customWidth="1" style="26" min="17" max="17"/>
    <col width="21.21875" customWidth="1" style="26" min="18" max="18"/>
    <col width="14.44140625" customWidth="1" style="26" min="19" max="19"/>
    <col width="5" customWidth="1" style="26" min="20" max="22"/>
    <col width="9" customWidth="1" style="26" min="23" max="16384"/>
  </cols>
  <sheetData>
    <row r="1" ht="14.4" customHeight="1" s="85">
      <c r="B1" s="27" t="inlineStr">
        <is>
          <t>Audit Analytics Working Paper Summary</t>
        </is>
      </c>
    </row>
    <row r="2" ht="14.4" customHeight="1" s="85">
      <c r="B2" s="27" t="inlineStr">
        <is>
          <t>Preparer</t>
        </is>
      </c>
      <c r="C2" s="26" t="inlineStr">
        <is>
          <t>Aayush Upadhyay, Vaishnavi</t>
        </is>
      </c>
    </row>
    <row r="3" ht="14.4" customHeight="1" s="85">
      <c r="B3" s="27" t="inlineStr">
        <is>
          <t>Reviewer</t>
        </is>
      </c>
      <c r="C3" s="26" t="inlineStr">
        <is>
          <t>Darshil Maru</t>
        </is>
      </c>
    </row>
    <row r="4" ht="14.4" customHeight="1" s="85">
      <c r="B4" s="27" t="n"/>
    </row>
    <row r="5" ht="13.5" customHeight="1" s="85">
      <c r="B5" s="28" t="n"/>
    </row>
    <row r="6" ht="13.5" customHeight="1" s="85">
      <c r="A6" s="29" t="inlineStr">
        <is>
          <t>1. Analysis Objective</t>
        </is>
      </c>
    </row>
    <row r="7" ht="13.5" customHeight="1" s="85">
      <c r="A7" s="29" t="n"/>
    </row>
    <row r="8" ht="15.75" customHeight="1" s="85">
      <c r="B8" s="86" t="inlineStr">
        <is>
          <t>Analysis Content</t>
        </is>
      </c>
      <c r="C8" s="87" t="n"/>
      <c r="D8" s="87" t="n"/>
      <c r="E8" s="87" t="n"/>
      <c r="F8" s="87" t="n"/>
      <c r="G8" s="88" t="n"/>
      <c r="T8" s="30" t="n"/>
      <c r="U8" s="30" t="n"/>
      <c r="V8" s="30" t="n"/>
    </row>
    <row r="9" ht="13.5" customHeight="1" s="85">
      <c r="B9" s="89" t="inlineStr">
        <is>
          <t>To provide Audit team with the necessary analytics based on the given data with the use of coding platform by the Analytics team.</t>
        </is>
      </c>
      <c r="C9" s="90" t="n"/>
      <c r="D9" s="90" t="n"/>
      <c r="E9" s="90" t="n"/>
      <c r="F9" s="90" t="n"/>
      <c r="G9" s="91" t="n"/>
      <c r="T9" s="30" t="n"/>
      <c r="U9" s="30" t="n"/>
      <c r="V9" s="30" t="n"/>
    </row>
    <row r="10" ht="13.5" customHeight="1" s="85">
      <c r="B10" s="92" t="n"/>
      <c r="G10" s="93" t="n"/>
      <c r="T10" s="30" t="n"/>
      <c r="U10" s="30" t="n"/>
      <c r="V10" s="30" t="n"/>
    </row>
    <row r="11" ht="13.5" customHeight="1" s="85">
      <c r="B11" s="92" t="n"/>
      <c r="G11" s="93" t="n"/>
      <c r="T11" s="30" t="n"/>
      <c r="U11" s="30" t="n"/>
      <c r="V11" s="30" t="n"/>
    </row>
    <row r="12" ht="14.25" customHeight="1" s="85">
      <c r="B12" s="94" t="n"/>
      <c r="C12" s="95" t="n"/>
      <c r="D12" s="95" t="n"/>
      <c r="E12" s="95" t="n"/>
      <c r="F12" s="95" t="n"/>
      <c r="G12" s="96" t="n"/>
      <c r="T12" s="30" t="n"/>
      <c r="U12" s="30" t="n"/>
      <c r="V12" s="30" t="n"/>
    </row>
    <row r="13" ht="13.5" customHeight="1" s="85">
      <c r="B13" s="28" t="n"/>
      <c r="C13" s="43" t="n"/>
      <c r="D13" s="43" t="n"/>
      <c r="E13" s="43" t="n"/>
      <c r="F13" s="43" t="n"/>
      <c r="G13" s="43" t="n"/>
      <c r="H13" s="43" t="n"/>
      <c r="I13" s="43" t="n"/>
      <c r="J13" s="43" t="n"/>
      <c r="K13" s="43" t="n"/>
      <c r="L13" s="43" t="n"/>
      <c r="M13" s="43" t="n"/>
      <c r="N13" s="43" t="n"/>
      <c r="O13" s="43" t="n"/>
      <c r="P13" s="43" t="n"/>
      <c r="Q13" s="43" t="n"/>
      <c r="R13" s="43" t="n"/>
      <c r="S13" s="43" t="n"/>
      <c r="T13" s="28" t="n"/>
      <c r="U13" s="28" t="n"/>
      <c r="V13" s="28" t="n"/>
    </row>
    <row r="14" ht="13.5" customHeight="1" s="85">
      <c r="A14" s="29" t="inlineStr">
        <is>
          <t>2.Analysis scope - meeting and attendees details</t>
        </is>
      </c>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row>
    <row r="15" ht="13.5" customHeight="1" s="85" thickBot="1">
      <c r="A15" s="29"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row>
    <row r="16" ht="31.35" customFormat="1" customHeight="1" s="31" thickTop="1">
      <c r="A16" s="36" t="n"/>
      <c r="B16" s="28" t="n"/>
      <c r="C16" s="75" t="inlineStr">
        <is>
          <t>There were multiple meetings to finalize the scope and discuss about data sets. Below are the details and summary of attendees</t>
        </is>
      </c>
      <c r="D16" s="97" t="n"/>
      <c r="E16" s="97" t="n"/>
      <c r="F16" s="28" t="n"/>
      <c r="G16" s="28" t="n"/>
      <c r="H16" s="28" t="n"/>
      <c r="I16" s="28" t="n"/>
      <c r="J16" s="28" t="n"/>
      <c r="K16" s="28" t="n"/>
      <c r="L16" s="28" t="n"/>
      <c r="M16" s="28" t="n"/>
      <c r="N16" s="28" t="n"/>
      <c r="O16" s="28" t="n"/>
      <c r="P16" s="28" t="n"/>
      <c r="Q16" s="28" t="n"/>
      <c r="R16" s="28" t="n"/>
      <c r="S16" s="28" t="n"/>
      <c r="T16" s="28" t="n"/>
      <c r="U16" s="28" t="n"/>
      <c r="V16" s="28" t="n"/>
    </row>
    <row r="17" ht="19.35" customFormat="1" customHeight="1" s="31">
      <c r="A17" s="36" t="n"/>
      <c r="B17" s="28" t="n"/>
      <c r="C17" s="76" t="inlineStr">
        <is>
          <t>Meeting 1 on overall scope with the Engagement leadership - Date:  09 June 2026</t>
        </is>
      </c>
      <c r="F17" s="28" t="n"/>
      <c r="G17" s="28" t="n"/>
      <c r="H17" s="28" t="n"/>
      <c r="I17" s="28" t="n"/>
      <c r="J17" s="28" t="n"/>
      <c r="K17" s="28" t="n"/>
      <c r="L17" s="28" t="n"/>
      <c r="M17" s="28" t="n"/>
      <c r="N17" s="28" t="n"/>
      <c r="O17" s="28" t="n"/>
      <c r="P17" s="28" t="n"/>
      <c r="Q17" s="28" t="n"/>
      <c r="R17" s="28" t="n"/>
      <c r="S17" s="28" t="n"/>
      <c r="T17" s="28" t="n"/>
      <c r="U17" s="28" t="n"/>
      <c r="V17" s="28" t="n"/>
    </row>
    <row r="18" ht="32.55" customFormat="1" customHeight="1" s="31" thickBot="1">
      <c r="A18" s="36" t="n"/>
      <c r="B18" s="28" t="n"/>
      <c r="C18" s="77" t="inlineStr">
        <is>
          <t>Subsequent granular discussions on scope with key team members :  09 June 2026</t>
        </is>
      </c>
      <c r="D18" s="98" t="n"/>
      <c r="E18" s="98" t="n"/>
      <c r="F18" s="28" t="n"/>
      <c r="G18" s="28" t="n"/>
      <c r="H18" s="28" t="n"/>
      <c r="I18" s="28" t="n"/>
      <c r="J18" s="28" t="n"/>
      <c r="K18" s="28" t="n"/>
      <c r="L18" s="28" t="n"/>
      <c r="M18" s="28" t="n"/>
      <c r="N18" s="28" t="n"/>
      <c r="O18" s="28" t="n"/>
      <c r="P18" s="28" t="n"/>
      <c r="Q18" s="28" t="n"/>
      <c r="R18" s="28" t="n"/>
      <c r="S18" s="28" t="n"/>
      <c r="T18" s="28" t="n"/>
      <c r="U18" s="28" t="n"/>
      <c r="V18" s="28" t="n"/>
    </row>
    <row r="19" ht="13.5" customFormat="1" customHeight="1" s="31" thickBot="1">
      <c r="A19" s="36" t="n"/>
      <c r="B19" s="28" t="n"/>
      <c r="C19" s="37" t="inlineStr">
        <is>
          <t>Title</t>
        </is>
      </c>
      <c r="D19" s="37" t="inlineStr">
        <is>
          <t>Name</t>
        </is>
      </c>
      <c r="E19" s="37" t="inlineStr">
        <is>
          <t>Participated in the Planning Meeting</t>
        </is>
      </c>
      <c r="F19" s="28" t="n"/>
      <c r="G19" s="28" t="n"/>
      <c r="H19" s="28" t="n"/>
      <c r="I19" s="28" t="n"/>
      <c r="J19" s="28" t="n"/>
      <c r="K19" s="28" t="n"/>
      <c r="L19" s="28" t="n"/>
      <c r="M19" s="28" t="n"/>
      <c r="N19" s="28" t="n"/>
      <c r="O19" s="28" t="n"/>
      <c r="P19" s="28" t="n"/>
      <c r="Q19" s="28" t="n"/>
      <c r="R19" s="28" t="n"/>
      <c r="S19" s="28" t="n"/>
      <c r="T19" s="28" t="n"/>
      <c r="U19" s="28" t="n"/>
      <c r="V19" s="28" t="n"/>
    </row>
    <row r="20" ht="13.5" customFormat="1" customHeight="1" s="31" thickBot="1">
      <c r="A20" s="36" t="n"/>
      <c r="B20" s="28" t="n"/>
      <c r="C20" s="37" t="inlineStr">
        <is>
          <t>Auditors</t>
        </is>
      </c>
      <c r="D20" s="38" t="n"/>
      <c r="E20" s="38" t="n"/>
      <c r="F20" s="28" t="n"/>
      <c r="G20" s="28" t="n"/>
      <c r="H20" s="28" t="n"/>
      <c r="I20" s="28" t="n"/>
      <c r="J20" s="28" t="n"/>
      <c r="K20" s="28" t="n"/>
      <c r="L20" s="28" t="n"/>
      <c r="M20" s="28" t="n"/>
      <c r="N20" s="28" t="n"/>
      <c r="O20" s="28" t="n"/>
      <c r="P20" s="28" t="n"/>
      <c r="Q20" s="28" t="n"/>
      <c r="R20" s="28" t="n"/>
      <c r="S20" s="28" t="n"/>
      <c r="T20" s="28" t="n"/>
      <c r="U20" s="28" t="n"/>
      <c r="V20" s="28" t="n"/>
    </row>
    <row r="21" ht="13.5" customFormat="1" customHeight="1" s="31" thickBot="1">
      <c r="A21" s="36" t="n"/>
      <c r="B21" s="28" t="n"/>
      <c r="C21" s="38" t="inlineStr">
        <is>
          <t>Analytics Team</t>
        </is>
      </c>
      <c r="D21" s="38" t="inlineStr">
        <is>
          <t>Darshil Maru</t>
        </is>
      </c>
      <c r="E21" s="38" t="inlineStr">
        <is>
          <t>No</t>
        </is>
      </c>
      <c r="F21" s="28" t="n"/>
      <c r="G21" s="28" t="n"/>
      <c r="H21" s="28" t="n"/>
      <c r="I21" s="28" t="n"/>
      <c r="J21" s="28" t="n"/>
      <c r="K21" s="28" t="n"/>
      <c r="L21" s="28" t="n"/>
      <c r="M21" s="28" t="n"/>
      <c r="N21" s="28" t="n"/>
      <c r="O21" s="28" t="n"/>
      <c r="P21" s="28" t="n"/>
      <c r="Q21" s="28" t="n"/>
      <c r="R21" s="28" t="n"/>
      <c r="S21" s="28" t="n"/>
      <c r="T21" s="28" t="n"/>
      <c r="U21" s="28" t="n"/>
      <c r="V21" s="28" t="n"/>
    </row>
    <row r="22" ht="13.5" customFormat="1" customHeight="1" s="31" thickBot="1">
      <c r="A22" s="36" t="n"/>
      <c r="B22" s="28" t="n"/>
      <c r="C22" s="38" t="inlineStr">
        <is>
          <t>Analytics Team</t>
        </is>
      </c>
      <c r="D22" s="38" t="inlineStr">
        <is>
          <t>Aayush Upadhyay</t>
        </is>
      </c>
      <c r="E22" s="38" t="inlineStr">
        <is>
          <t>No</t>
        </is>
      </c>
      <c r="F22" s="28" t="n"/>
      <c r="G22" s="28" t="n"/>
      <c r="H22" s="28" t="n"/>
      <c r="I22" s="28" t="n"/>
      <c r="J22" s="28" t="n"/>
      <c r="K22" s="28" t="n"/>
      <c r="L22" s="28" t="n"/>
      <c r="M22" s="28" t="n"/>
      <c r="N22" s="28" t="n"/>
      <c r="O22" s="28" t="n"/>
      <c r="P22" s="28" t="n"/>
      <c r="Q22" s="28" t="n"/>
      <c r="R22" s="28" t="n"/>
      <c r="S22" s="28" t="n"/>
      <c r="T22" s="28" t="n"/>
      <c r="U22" s="28" t="n"/>
      <c r="V22" s="28" t="n"/>
    </row>
    <row r="23" ht="13.5" customFormat="1" customHeight="1" s="31" thickBot="1">
      <c r="A23" s="36" t="n"/>
      <c r="B23" s="28" t="n"/>
      <c r="C23" s="38" t="inlineStr">
        <is>
          <t>Analytics Team</t>
        </is>
      </c>
      <c r="D23" s="38" t="inlineStr">
        <is>
          <t>Vaishnavi</t>
        </is>
      </c>
      <c r="E23" s="38" t="inlineStr">
        <is>
          <t>Yes</t>
        </is>
      </c>
      <c r="F23" s="28" t="n"/>
      <c r="G23" s="28" t="n"/>
      <c r="H23" s="28" t="n"/>
      <c r="I23" s="28" t="n"/>
      <c r="J23" s="28" t="n"/>
      <c r="K23" s="28" t="n"/>
      <c r="L23" s="28" t="n"/>
      <c r="M23" s="28" t="n"/>
      <c r="N23" s="28" t="n"/>
      <c r="O23" s="28" t="n"/>
      <c r="P23" s="28" t="n"/>
      <c r="Q23" s="28" t="n"/>
      <c r="R23" s="28" t="n"/>
      <c r="S23" s="28" t="n"/>
      <c r="T23" s="28" t="n"/>
      <c r="U23" s="28" t="n"/>
      <c r="V23" s="28" t="n"/>
    </row>
    <row r="24" ht="13.5" customFormat="1" customHeight="1" s="31" thickBot="1">
      <c r="A24" s="29"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row>
    <row r="25" ht="13.5" customHeight="1" s="85" thickBot="1">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row>
    <row r="26" ht="13.5" customHeight="1" s="85">
      <c r="A26" s="29" t="inlineStr">
        <is>
          <t>3.Analysis Scope</t>
        </is>
      </c>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row>
    <row r="27" ht="13.5" customHeight="1" s="85">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row>
    <row r="28" ht="13.5" customHeight="1" s="85">
      <c r="B28" s="31" t="n"/>
      <c r="C28" s="40" t="inlineStr">
        <is>
          <t xml:space="preserve">Specialist Team Type </t>
        </is>
      </c>
      <c r="D28" s="41" t="inlineStr">
        <is>
          <t>Lead Specialist</t>
        </is>
      </c>
      <c r="E28" s="41" t="inlineStr">
        <is>
          <t>Type of Involvement</t>
        </is>
      </c>
      <c r="F28" s="41" t="inlineStr">
        <is>
          <t>Audit Phase</t>
        </is>
      </c>
      <c r="G28" s="41" t="inlineStr">
        <is>
          <t>Description of Procedures</t>
        </is>
      </c>
      <c r="H28" s="41" t="inlineStr">
        <is>
          <t>Type</t>
        </is>
      </c>
      <c r="I28" s="41" t="inlineStr">
        <is>
          <t xml:space="preserve">Data Recon to Be Performed by DA Specialists? </t>
        </is>
      </c>
      <c r="J28" s="41" t="inlineStr">
        <is>
          <t>Data Source *</t>
        </is>
      </c>
      <c r="K28" s="41" t="inlineStr">
        <is>
          <t>Timing</t>
        </is>
      </c>
      <c r="L28" s="32" t="n"/>
      <c r="M28" s="32" t="n"/>
      <c r="N28" s="32" t="n"/>
      <c r="O28" s="32" t="n"/>
      <c r="P28" s="32" t="n"/>
      <c r="Q28" s="32" t="n"/>
      <c r="R28" s="32" t="n"/>
      <c r="S28" s="32" t="n"/>
      <c r="T28" s="32" t="n"/>
      <c r="U28" s="32" t="n"/>
      <c r="V28" s="32" t="n"/>
    </row>
    <row r="29" ht="13.5" customHeight="1" s="85" thickBot="1">
      <c r="A29" s="99" t="n"/>
      <c r="B29" s="99" t="n"/>
      <c r="C29" s="100" t="inlineStr">
        <is>
          <t>Revenue Test</t>
        </is>
      </c>
      <c r="D29" s="100" t="inlineStr"/>
      <c r="E29" s="100" t="inlineStr">
        <is>
          <t>Payroll processed for an employee though joining date is after the cut off date</t>
        </is>
      </c>
      <c r="F29" s="100" t="inlineStr">
        <is>
          <t>Risk assessment and Substantive Analytical Review</t>
        </is>
      </c>
      <c r="G29" s="101" t="inlineStr">
        <is>
          <t>•        Audit Engagement team to provide the base data</t>
        </is>
      </c>
      <c r="H29" s="100" t="inlineStr">
        <is>
          <t>Custom</t>
        </is>
      </c>
      <c r="I29" s="100" t="inlineStr">
        <is>
          <t>No</t>
        </is>
      </c>
      <c r="J29" s="100" t="inlineStr">
        <is>
          <t>Client's ERP</t>
        </is>
      </c>
      <c r="K29" s="100" t="inlineStr">
        <is>
          <t>FY25-26</t>
        </is>
      </c>
      <c r="L29" s="32" t="n"/>
      <c r="M29" s="32" t="n"/>
      <c r="N29" s="32" t="n"/>
      <c r="O29" s="32" t="n"/>
      <c r="P29" s="32" t="n"/>
      <c r="Q29" s="32" t="n"/>
      <c r="R29" s="32" t="n"/>
      <c r="S29" s="32" t="n"/>
      <c r="T29" s="32" t="n"/>
      <c r="U29" s="32" t="n"/>
      <c r="V29" s="32" t="n"/>
    </row>
    <row r="30" ht="41.55" customHeight="1" s="85" thickBot="1" thickTop="1">
      <c r="A30" s="99" t="n"/>
      <c r="B30" s="99" t="n"/>
      <c r="G30" s="102" t="inlineStr">
        <is>
          <t>•        DA team will use coding platform Apache Spark - Scala to extract required analysis from Big Data that would be helpful to the Engagement teams</t>
        </is>
      </c>
      <c r="L30" s="32" t="n"/>
      <c r="M30" s="32" t="n"/>
      <c r="N30" s="32" t="n"/>
      <c r="O30" s="32" t="n"/>
      <c r="P30" s="32" t="n"/>
      <c r="Q30" s="32" t="n"/>
      <c r="R30" s="32" t="n"/>
      <c r="S30" s="32" t="n"/>
      <c r="T30" s="32" t="n"/>
      <c r="U30" s="32" t="n"/>
      <c r="V30" s="32" t="n"/>
    </row>
    <row r="31" ht="27.6" customFormat="1" customHeight="1" s="31">
      <c r="A31" s="99" t="n"/>
      <c r="B31" s="99" t="n"/>
      <c r="C31" s="95" t="n"/>
      <c r="D31" s="95" t="n"/>
      <c r="E31" s="95" t="n"/>
      <c r="F31" s="95" t="n"/>
      <c r="G31" s="103" t="inlineStr">
        <is>
          <t>•        Deliver the Final Output in the form of Excel sheets</t>
        </is>
      </c>
      <c r="H31" s="95" t="n"/>
      <c r="I31" s="95" t="n"/>
      <c r="J31" s="95" t="n"/>
      <c r="K31" s="95" t="n"/>
      <c r="L31" s="32" t="n"/>
      <c r="M31" s="32" t="n"/>
      <c r="N31" s="32" t="n"/>
      <c r="O31" s="32" t="n"/>
      <c r="P31" s="32" t="n"/>
      <c r="Q31" s="32" t="n"/>
      <c r="R31" s="32" t="n"/>
      <c r="S31" s="32" t="n"/>
      <c r="T31" s="32" t="n"/>
      <c r="U31" s="32" t="n"/>
      <c r="V31" s="32" t="n"/>
    </row>
    <row r="32" ht="13.5" customFormat="1" customHeight="1" s="31">
      <c r="A32" s="99" t="n"/>
      <c r="B32" s="99" t="n"/>
      <c r="C32" s="100" t="inlineStr">
        <is>
          <t>Revenue Test</t>
        </is>
      </c>
      <c r="D32" s="100" t="inlineStr"/>
      <c r="E32" s="100" t="inlineStr">
        <is>
          <t>No TDS amount though it is likely to be applicable based on current salary structure</t>
        </is>
      </c>
      <c r="F32" s="100" t="inlineStr">
        <is>
          <t>Risk assessment and Substantive Analytical Review</t>
        </is>
      </c>
      <c r="G32" s="101" t="inlineStr">
        <is>
          <t>•        Audit Engagement team to provide the base data</t>
        </is>
      </c>
      <c r="H32" s="100" t="inlineStr">
        <is>
          <t>Custom</t>
        </is>
      </c>
      <c r="I32" s="100" t="inlineStr">
        <is>
          <t>No</t>
        </is>
      </c>
      <c r="J32" s="100" t="inlineStr">
        <is>
          <t>Client's ERP</t>
        </is>
      </c>
      <c r="K32" s="100" t="inlineStr">
        <is>
          <t>FY25-26</t>
        </is>
      </c>
      <c r="L32" s="104" t="n"/>
      <c r="M32" s="104" t="n"/>
      <c r="N32" s="104" t="n"/>
    </row>
    <row r="33" ht="41.55" customFormat="1" customHeight="1" s="31">
      <c r="A33" s="99" t="n"/>
      <c r="B33" s="99" t="n"/>
      <c r="G33" s="102" t="inlineStr">
        <is>
          <t>•        DA team will use coding platform Apache Spark - Scala to extract required analysis from Big Data that would be helpful to the Engagement teams</t>
        </is>
      </c>
      <c r="L33" s="104" t="n"/>
      <c r="M33" s="104" t="n"/>
      <c r="N33" s="104" t="n"/>
    </row>
    <row r="34" ht="27.6" customFormat="1" customHeight="1" s="31">
      <c r="A34" s="99" t="n"/>
      <c r="B34" s="99" t="n"/>
      <c r="C34" s="95" t="n"/>
      <c r="D34" s="95" t="n"/>
      <c r="E34" s="95" t="n"/>
      <c r="F34" s="95" t="n"/>
      <c r="G34" s="103" t="inlineStr">
        <is>
          <t>•        Deliver the Final Output in the form of Excel sheets</t>
        </is>
      </c>
      <c r="H34" s="95" t="n"/>
      <c r="I34" s="95" t="n"/>
      <c r="J34" s="95" t="n"/>
      <c r="K34" s="95" t="n"/>
      <c r="L34" s="104" t="n"/>
      <c r="M34" s="104" t="n"/>
      <c r="N34" s="104" t="n"/>
    </row>
    <row r="35" ht="13.5" customHeight="1" s="85">
      <c r="A35" s="99" t="n"/>
      <c r="B35" s="99" t="n"/>
      <c r="C35" s="100" t="inlineStr">
        <is>
          <t>Revenue Test</t>
        </is>
      </c>
      <c r="D35" s="100" t="inlineStr"/>
      <c r="E35" s="100" t="inlineStr">
        <is>
          <t>Employees having no employee code</t>
        </is>
      </c>
      <c r="F35" s="100" t="inlineStr">
        <is>
          <t>Risk assessment and Substantive Analytical Review</t>
        </is>
      </c>
      <c r="G35" s="101" t="inlineStr">
        <is>
          <t>•        Audit Engagement team to provide the base data</t>
        </is>
      </c>
      <c r="H35" s="100" t="inlineStr">
        <is>
          <t>Custom</t>
        </is>
      </c>
      <c r="I35" s="100" t="inlineStr">
        <is>
          <t>No</t>
        </is>
      </c>
      <c r="J35" s="100" t="inlineStr">
        <is>
          <t>Client's ERP</t>
        </is>
      </c>
      <c r="K35" s="100" t="inlineStr">
        <is>
          <t>FY25-26</t>
        </is>
      </c>
      <c r="L35" s="104" t="n"/>
      <c r="M35" s="104" t="n"/>
      <c r="N35" s="104" t="n"/>
    </row>
    <row r="36" ht="41.55" customHeight="1" s="85">
      <c r="A36" s="99" t="n"/>
      <c r="B36" s="99" t="n"/>
      <c r="G36" s="102" t="inlineStr">
        <is>
          <t>•        DA team will use coding platform Apache Spark - Scala to extract required analysis from Big Data that would be helpful to the Engagement teams</t>
        </is>
      </c>
      <c r="L36" s="104" t="n"/>
      <c r="M36" s="104" t="n"/>
      <c r="N36" s="104" t="n"/>
    </row>
    <row r="37" ht="27.6" customHeight="1" s="85">
      <c r="A37" s="99" t="n"/>
      <c r="B37" s="99" t="n"/>
      <c r="C37" s="95" t="n"/>
      <c r="D37" s="95" t="n"/>
      <c r="E37" s="95" t="n"/>
      <c r="F37" s="95" t="n"/>
      <c r="G37" s="103" t="inlineStr">
        <is>
          <t>•        Deliver the Final Output in the form of Excel sheets</t>
        </is>
      </c>
      <c r="H37" s="95" t="n"/>
      <c r="I37" s="95" t="n"/>
      <c r="J37" s="95" t="n"/>
      <c r="K37" s="95" t="n"/>
      <c r="L37" s="104" t="n"/>
      <c r="M37" s="104" t="n"/>
      <c r="N37" s="104" t="n"/>
    </row>
    <row r="38" ht="13.5" customHeight="1" s="85">
      <c r="A38" s="99" t="n"/>
      <c r="B38" s="99" t="n"/>
      <c r="C38" s="100" t="inlineStr">
        <is>
          <t>Revenue Test</t>
        </is>
      </c>
      <c r="D38" s="100" t="inlineStr"/>
      <c r="E38" s="100" t="inlineStr">
        <is>
          <t>Bank Account numbers are repetitive</t>
        </is>
      </c>
      <c r="F38" s="100" t="inlineStr">
        <is>
          <t>Risk assessment and Substantive Analytical Review</t>
        </is>
      </c>
      <c r="G38" s="101" t="inlineStr">
        <is>
          <t>•        Audit Engagement team to provide the base data</t>
        </is>
      </c>
      <c r="H38" s="100" t="inlineStr">
        <is>
          <t>Custom</t>
        </is>
      </c>
      <c r="I38" s="100" t="inlineStr">
        <is>
          <t>No</t>
        </is>
      </c>
      <c r="J38" s="100" t="inlineStr">
        <is>
          <t>Client's ERP</t>
        </is>
      </c>
      <c r="K38" s="100" t="inlineStr">
        <is>
          <t>FY25-26</t>
        </is>
      </c>
      <c r="L38" s="104" t="n"/>
      <c r="M38" s="104" t="n"/>
      <c r="N38" s="104" t="n"/>
    </row>
    <row r="39" ht="41.55" customHeight="1" s="85">
      <c r="A39" s="99" t="n"/>
      <c r="B39" s="99" t="n"/>
      <c r="G39" s="102" t="inlineStr">
        <is>
          <t>•        DA team will use coding platform Apache Spark - Scala to extract required analysis from Big Data that would be helpful to the Engagement teams</t>
        </is>
      </c>
      <c r="L39" s="104" t="n"/>
      <c r="M39" s="104" t="n"/>
      <c r="N39" s="104" t="n"/>
    </row>
    <row r="40" ht="27.6" customHeight="1" s="85">
      <c r="A40" s="99" t="n"/>
      <c r="B40" s="99" t="n"/>
      <c r="C40" s="95" t="n"/>
      <c r="D40" s="95" t="n"/>
      <c r="E40" s="95" t="n"/>
      <c r="F40" s="95" t="n"/>
      <c r="G40" s="103" t="inlineStr">
        <is>
          <t>•        Deliver the Final Output in the form of Excel sheets</t>
        </is>
      </c>
      <c r="H40" s="95" t="n"/>
      <c r="I40" s="95" t="n"/>
      <c r="J40" s="95" t="n"/>
      <c r="K40" s="95" t="n"/>
      <c r="L40" s="104" t="n"/>
      <c r="M40" s="104" t="n"/>
      <c r="N40" s="104" t="n"/>
    </row>
    <row r="41" ht="13.5" customHeight="1" s="85">
      <c r="A41" s="99" t="n"/>
      <c r="B41" s="99" t="n"/>
      <c r="C41" s="100" t="inlineStr">
        <is>
          <t>Revenue Test</t>
        </is>
      </c>
      <c r="D41" s="100" t="inlineStr"/>
      <c r="E41" s="100" t="inlineStr">
        <is>
          <t>Employee IDs whose Employee department is blank</t>
        </is>
      </c>
      <c r="F41" s="100" t="inlineStr">
        <is>
          <t>Risk assessment and Substantive Analytical Review</t>
        </is>
      </c>
      <c r="G41" s="101" t="inlineStr">
        <is>
          <t>•        Audit Engagement team to provide the base data</t>
        </is>
      </c>
      <c r="H41" s="100" t="inlineStr">
        <is>
          <t>Custom</t>
        </is>
      </c>
      <c r="I41" s="100" t="inlineStr">
        <is>
          <t>No</t>
        </is>
      </c>
      <c r="J41" s="100" t="inlineStr">
        <is>
          <t>Client's ERP</t>
        </is>
      </c>
      <c r="K41" s="100" t="inlineStr">
        <is>
          <t>FY25-26</t>
        </is>
      </c>
      <c r="L41" s="104" t="n"/>
      <c r="M41" s="104" t="n"/>
      <c r="N41" s="104" t="n"/>
    </row>
    <row r="42" ht="41.55" customHeight="1" s="85">
      <c r="A42" s="99" t="n"/>
      <c r="B42" s="99" t="n"/>
      <c r="G42" s="102" t="inlineStr">
        <is>
          <t>•        DA team will use coding platform Apache Spark - Scala to extract required analysis from Big Data that would be helpful to the Engagement teams</t>
        </is>
      </c>
      <c r="L42" s="104" t="n"/>
      <c r="M42" s="104" t="n"/>
      <c r="N42" s="104" t="n"/>
    </row>
    <row r="43" ht="27.6" customHeight="1" s="85">
      <c r="A43" s="99" t="n"/>
      <c r="B43" s="99" t="n"/>
      <c r="C43" s="95" t="n"/>
      <c r="D43" s="95" t="n"/>
      <c r="E43" s="95" t="n"/>
      <c r="F43" s="95" t="n"/>
      <c r="G43" s="103" t="inlineStr">
        <is>
          <t>•        Deliver the Final Output in the form of Excel sheets</t>
        </is>
      </c>
      <c r="H43" s="95" t="n"/>
      <c r="I43" s="95" t="n"/>
      <c r="J43" s="95" t="n"/>
      <c r="K43" s="95" t="n"/>
      <c r="L43" s="104" t="n"/>
      <c r="M43" s="104" t="n"/>
      <c r="N43" s="104" t="n"/>
    </row>
    <row r="44" ht="13.5" customHeight="1" s="85">
      <c r="A44" s="99" t="n"/>
      <c r="B44" s="99" t="n"/>
      <c r="C44" s="100" t="inlineStr">
        <is>
          <t>Revenue Test</t>
        </is>
      </c>
      <c r="D44" s="100" t="inlineStr"/>
      <c r="E44" s="100" t="inlineStr">
        <is>
          <t>Employee IDs where Employee designation is blank</t>
        </is>
      </c>
      <c r="F44" s="100" t="inlineStr">
        <is>
          <t>Risk assessment and Substantive Analytical Review</t>
        </is>
      </c>
      <c r="G44" s="101" t="inlineStr">
        <is>
          <t>•        Audit Engagement team to provide the base data</t>
        </is>
      </c>
      <c r="H44" s="100" t="inlineStr">
        <is>
          <t>Custom</t>
        </is>
      </c>
      <c r="I44" s="100" t="inlineStr">
        <is>
          <t>No</t>
        </is>
      </c>
      <c r="J44" s="100" t="inlineStr">
        <is>
          <t>Client's ERP</t>
        </is>
      </c>
      <c r="K44" s="100" t="inlineStr">
        <is>
          <t>FY25-26</t>
        </is>
      </c>
      <c r="L44" s="104" t="n"/>
      <c r="M44" s="104" t="n"/>
      <c r="N44" s="104" t="n"/>
    </row>
    <row r="45" ht="41.55" customHeight="1" s="85">
      <c r="A45" s="99" t="n"/>
      <c r="B45" s="99" t="n"/>
      <c r="G45" s="102" t="inlineStr">
        <is>
          <t>•        DA team will use coding platform Apache Spark - Scala to extract required analysis from Big Data that would be helpful to the Engagement teams</t>
        </is>
      </c>
      <c r="L45" s="104" t="n"/>
      <c r="M45" s="104" t="n"/>
      <c r="N45" s="104" t="n"/>
    </row>
    <row r="46" ht="27.6" customHeight="1" s="85">
      <c r="A46" s="99" t="n"/>
      <c r="B46" s="99" t="n"/>
      <c r="C46" s="95" t="n"/>
      <c r="D46" s="95" t="n"/>
      <c r="E46" s="95" t="n"/>
      <c r="F46" s="95" t="n"/>
      <c r="G46" s="103" t="inlineStr">
        <is>
          <t>•        Deliver the Final Output in the form of Excel sheets</t>
        </is>
      </c>
      <c r="H46" s="95" t="n"/>
      <c r="I46" s="95" t="n"/>
      <c r="J46" s="95" t="n"/>
      <c r="K46" s="95" t="n"/>
      <c r="L46" s="104" t="n"/>
      <c r="M46" s="104" t="n"/>
      <c r="N46" s="104" t="n"/>
    </row>
    <row r="47" ht="13.5" customHeight="1" s="85">
      <c r="A47" s="99" t="n"/>
      <c r="B47" s="99" t="n"/>
      <c r="C47" s="100" t="inlineStr">
        <is>
          <t>Revenue Test</t>
        </is>
      </c>
      <c r="D47" s="100" t="inlineStr"/>
      <c r="E47" s="100" t="inlineStr">
        <is>
          <t>Employees with duplicate employee IDs</t>
        </is>
      </c>
      <c r="F47" s="100" t="inlineStr">
        <is>
          <t>Risk assessment and Substantive Analytical Review</t>
        </is>
      </c>
      <c r="G47" s="101" t="inlineStr">
        <is>
          <t>•        Audit Engagement team to provide the base data</t>
        </is>
      </c>
      <c r="H47" s="100" t="inlineStr">
        <is>
          <t>Custom</t>
        </is>
      </c>
      <c r="I47" s="100" t="inlineStr">
        <is>
          <t>No</t>
        </is>
      </c>
      <c r="J47" s="100" t="inlineStr">
        <is>
          <t>Client's ERP</t>
        </is>
      </c>
      <c r="K47" s="100" t="inlineStr">
        <is>
          <t>FY25-26</t>
        </is>
      </c>
      <c r="L47" s="104" t="n"/>
      <c r="M47" s="104" t="n"/>
      <c r="N47" s="104" t="n"/>
    </row>
    <row r="48" ht="41.55" customHeight="1" s="85">
      <c r="A48" s="99" t="n"/>
      <c r="B48" s="99" t="n"/>
      <c r="G48" s="102" t="inlineStr">
        <is>
          <t>•        DA team will use coding platform Apache Spark - Scala to extract required analysis from Big Data that would be helpful to the Engagement teams</t>
        </is>
      </c>
      <c r="L48" s="104" t="n"/>
      <c r="M48" s="104" t="n"/>
      <c r="N48" s="104" t="n"/>
    </row>
    <row r="49" ht="27.6" customHeight="1" s="85">
      <c r="A49" s="99" t="n"/>
      <c r="B49" s="99" t="n"/>
      <c r="C49" s="95" t="n"/>
      <c r="D49" s="95" t="n"/>
      <c r="E49" s="95" t="n"/>
      <c r="F49" s="95" t="n"/>
      <c r="G49" s="103" t="inlineStr">
        <is>
          <t>•        Deliver the Final Output in the form of Excel sheets</t>
        </is>
      </c>
      <c r="H49" s="95" t="n"/>
      <c r="I49" s="95" t="n"/>
      <c r="J49" s="95" t="n"/>
      <c r="K49" s="95" t="n"/>
      <c r="L49" s="104" t="n"/>
      <c r="M49" s="104" t="n"/>
      <c r="N49" s="104" t="n"/>
    </row>
    <row r="50" ht="13.5" customHeight="1" s="85">
      <c r="A50" s="99" t="n"/>
      <c r="B50" s="99" t="n"/>
      <c r="C50" s="100" t="inlineStr">
        <is>
          <t>Revenue Test</t>
        </is>
      </c>
      <c r="D50" s="100" t="inlineStr"/>
      <c r="E50" s="100" t="inlineStr">
        <is>
          <t>Instances where Gross Pay less Total deductions is not equal to net pay</t>
        </is>
      </c>
      <c r="F50" s="100" t="inlineStr">
        <is>
          <t>Risk assessment and Substantive Analytical Review</t>
        </is>
      </c>
      <c r="G50" s="101" t="inlineStr">
        <is>
          <t>•        Audit Engagement team to provide the base data</t>
        </is>
      </c>
      <c r="H50" s="100" t="inlineStr">
        <is>
          <t>Custom</t>
        </is>
      </c>
      <c r="I50" s="100" t="inlineStr">
        <is>
          <t>No</t>
        </is>
      </c>
      <c r="J50" s="100" t="inlineStr">
        <is>
          <t>Client's ERP</t>
        </is>
      </c>
      <c r="K50" s="100" t="inlineStr">
        <is>
          <t>FY25-26</t>
        </is>
      </c>
      <c r="L50" s="104" t="n"/>
      <c r="M50" s="104" t="n"/>
      <c r="N50" s="104" t="n"/>
    </row>
    <row r="51" ht="41.55" customHeight="1" s="85">
      <c r="A51" s="99" t="n"/>
      <c r="B51" s="99" t="n"/>
      <c r="G51" s="102" t="inlineStr">
        <is>
          <t>•        DA team will use coding platform Apache Spark - Scala to extract required analysis from Big Data that would be helpful to the Engagement teams</t>
        </is>
      </c>
      <c r="L51" s="104" t="n"/>
      <c r="M51" s="104" t="n"/>
      <c r="N51" s="104" t="n"/>
    </row>
    <row r="52" ht="27.6" customHeight="1" s="85">
      <c r="A52" s="99" t="n"/>
      <c r="B52" s="99" t="n"/>
      <c r="C52" s="95" t="n"/>
      <c r="D52" s="95" t="n"/>
      <c r="E52" s="95" t="n"/>
      <c r="F52" s="95" t="n"/>
      <c r="G52" s="103" t="inlineStr">
        <is>
          <t>•        Deliver the Final Output in the form of Excel sheets</t>
        </is>
      </c>
      <c r="H52" s="95" t="n"/>
      <c r="I52" s="95" t="n"/>
      <c r="J52" s="95" t="n"/>
      <c r="K52" s="95" t="n"/>
      <c r="L52" s="104" t="n"/>
      <c r="M52" s="104" t="n"/>
      <c r="N52" s="104" t="n"/>
    </row>
    <row r="53" ht="13.5" customHeight="1" s="85">
      <c r="A53" s="99" t="n"/>
      <c r="B53" s="99" t="n"/>
      <c r="C53" s="100" t="inlineStr">
        <is>
          <t>Revenue Test</t>
        </is>
      </c>
      <c r="D53" s="100" t="inlineStr"/>
      <c r="E53" s="100" t="inlineStr">
        <is>
          <t>Employee IDs where total days in a month less than LOP is not equal to number of days for which salary is paid for</t>
        </is>
      </c>
      <c r="F53" s="100" t="inlineStr">
        <is>
          <t>Risk assessment and Substantive Analytical Review</t>
        </is>
      </c>
      <c r="G53" s="101" t="inlineStr">
        <is>
          <t>•        Audit Engagement team to provide the base data</t>
        </is>
      </c>
      <c r="H53" s="100" t="inlineStr">
        <is>
          <t>Custom</t>
        </is>
      </c>
      <c r="I53" s="100" t="inlineStr">
        <is>
          <t>No</t>
        </is>
      </c>
      <c r="J53" s="100" t="inlineStr">
        <is>
          <t>Client's ERP</t>
        </is>
      </c>
      <c r="K53" s="100" t="inlineStr">
        <is>
          <t>FY25-26</t>
        </is>
      </c>
      <c r="L53" s="104" t="n"/>
      <c r="M53" s="104" t="n"/>
      <c r="N53" s="104" t="n"/>
    </row>
    <row r="54" ht="41.55" customHeight="1" s="85">
      <c r="A54" s="99" t="n"/>
      <c r="B54" s="99" t="n"/>
      <c r="G54" s="102" t="inlineStr">
        <is>
          <t>•        DA team will use coding platform Apache Spark - Scala to extract required analysis from Big Data that would be helpful to the Engagement teams</t>
        </is>
      </c>
      <c r="L54" s="104" t="n"/>
      <c r="M54" s="104" t="n"/>
      <c r="N54" s="104" t="n"/>
    </row>
    <row r="55" ht="27.6" customHeight="1" s="85">
      <c r="A55" s="99" t="n"/>
      <c r="B55" s="99" t="n"/>
      <c r="C55" s="95" t="n"/>
      <c r="D55" s="95" t="n"/>
      <c r="E55" s="95" t="n"/>
      <c r="F55" s="95" t="n"/>
      <c r="G55" s="103" t="inlineStr">
        <is>
          <t>•        Deliver the Final Output in the form of Excel sheets</t>
        </is>
      </c>
      <c r="H55" s="95" t="n"/>
      <c r="I55" s="95" t="n"/>
      <c r="J55" s="95" t="n"/>
      <c r="K55" s="95" t="n"/>
      <c r="L55" s="104" t="n"/>
      <c r="M55" s="104" t="n"/>
      <c r="N55" s="104" t="n"/>
    </row>
    <row r="56" ht="13.5" customHeight="1" s="85">
      <c r="A56" s="99" t="n"/>
      <c r="B56" s="99" t="n"/>
      <c r="C56" s="100" t="inlineStr">
        <is>
          <t>Revenue Test</t>
        </is>
      </c>
      <c r="D56" s="100" t="inlineStr"/>
      <c r="E56" s="100" t="inlineStr">
        <is>
          <t>Employee IDs where PF as % of Basic or on Rs. 15,000 is not equal to 12%</t>
        </is>
      </c>
      <c r="F56" s="100" t="inlineStr">
        <is>
          <t>Risk assessment and Substantive Analytical Review</t>
        </is>
      </c>
      <c r="G56" s="101" t="inlineStr">
        <is>
          <t>•        Audit Engagement team to provide the base data</t>
        </is>
      </c>
      <c r="H56" s="100" t="inlineStr">
        <is>
          <t>Custom</t>
        </is>
      </c>
      <c r="I56" s="100" t="inlineStr">
        <is>
          <t>No</t>
        </is>
      </c>
      <c r="J56" s="100" t="inlineStr">
        <is>
          <t>Client's ERP</t>
        </is>
      </c>
      <c r="K56" s="100" t="inlineStr">
        <is>
          <t>FY25-26</t>
        </is>
      </c>
      <c r="L56" s="104" t="n"/>
      <c r="M56" s="104" t="n"/>
      <c r="N56" s="104" t="n"/>
    </row>
    <row r="57" ht="41.55" customHeight="1" s="85">
      <c r="A57" s="99" t="n"/>
      <c r="B57" s="99" t="n"/>
      <c r="G57" s="102" t="inlineStr">
        <is>
          <t>•        DA team will use coding platform Apache Spark - Scala to extract required analysis from Big Data that would be helpful to the Engagement teams</t>
        </is>
      </c>
      <c r="L57" s="104" t="n"/>
      <c r="M57" s="104" t="n"/>
      <c r="N57" s="104" t="n"/>
    </row>
    <row r="58" ht="27.6" customHeight="1" s="85">
      <c r="A58" s="99" t="n"/>
      <c r="B58" s="99" t="n"/>
      <c r="C58" s="95" t="n"/>
      <c r="D58" s="95" t="n"/>
      <c r="E58" s="95" t="n"/>
      <c r="F58" s="95" t="n"/>
      <c r="G58" s="103" t="inlineStr">
        <is>
          <t>•        Deliver the Final Output in the form of Excel sheets</t>
        </is>
      </c>
      <c r="H58" s="95" t="n"/>
      <c r="I58" s="95" t="n"/>
      <c r="J58" s="95" t="n"/>
      <c r="K58" s="95" t="n"/>
      <c r="L58" s="104" t="n"/>
      <c r="M58" s="104" t="n"/>
      <c r="N58" s="104" t="n"/>
    </row>
    <row r="59" ht="13.5" customHeight="1" s="85">
      <c r="A59" s="99" t="n"/>
      <c r="B59" s="99" t="n"/>
      <c r="C59" s="100" t="inlineStr">
        <is>
          <t>Revenue Test</t>
        </is>
      </c>
      <c r="D59" s="100" t="inlineStr"/>
      <c r="E59" s="100" t="inlineStr">
        <is>
          <t>Employee IDs where salary paid is for a period different from the total tenure of that employee during the year</t>
        </is>
      </c>
      <c r="F59" s="100" t="inlineStr">
        <is>
          <t>Risk assessment and Substantive Analytical Review</t>
        </is>
      </c>
      <c r="G59" s="101" t="inlineStr">
        <is>
          <t>•        Audit Engagement team to provide the base data</t>
        </is>
      </c>
      <c r="H59" s="100" t="inlineStr">
        <is>
          <t>Custom</t>
        </is>
      </c>
      <c r="I59" s="100" t="inlineStr">
        <is>
          <t>No</t>
        </is>
      </c>
      <c r="J59" s="100" t="inlineStr">
        <is>
          <t>Client's ERP</t>
        </is>
      </c>
      <c r="K59" s="100" t="inlineStr">
        <is>
          <t>FY25-26</t>
        </is>
      </c>
      <c r="L59" s="104" t="n"/>
      <c r="M59" s="104" t="n"/>
      <c r="N59" s="104" t="n"/>
    </row>
    <row r="60" ht="41.55" customHeight="1" s="85">
      <c r="A60" s="99" t="n"/>
      <c r="B60" s="99" t="n"/>
      <c r="G60" s="102" t="inlineStr">
        <is>
          <t>•        DA team will use coding platform Apache Spark - Scala to extract required analysis from Big Data that would be helpful to the Engagement teams</t>
        </is>
      </c>
      <c r="L60" s="104" t="n"/>
      <c r="M60" s="104" t="n"/>
      <c r="N60" s="104" t="n"/>
    </row>
    <row r="61" ht="27.6" customHeight="1" s="85">
      <c r="A61" s="99" t="n"/>
      <c r="B61" s="99" t="n"/>
      <c r="C61" s="95" t="n"/>
      <c r="D61" s="95" t="n"/>
      <c r="E61" s="95" t="n"/>
      <c r="F61" s="95" t="n"/>
      <c r="G61" s="103" t="inlineStr">
        <is>
          <t>•        Deliver the Final Output in the form of Excel sheets</t>
        </is>
      </c>
      <c r="H61" s="95" t="n"/>
      <c r="I61" s="95" t="n"/>
      <c r="J61" s="95" t="n"/>
      <c r="K61" s="95" t="n"/>
      <c r="L61" s="104" t="n"/>
      <c r="M61" s="104" t="n"/>
      <c r="N61" s="104" t="n"/>
    </row>
    <row r="62" ht="13.5" customHeight="1" s="85">
      <c r="A62" s="99" t="n"/>
      <c r="B62" s="99" t="n"/>
      <c r="C62" s="100" t="inlineStr">
        <is>
          <t>Revenue Test</t>
        </is>
      </c>
      <c r="D62" s="100" t="inlineStr"/>
      <c r="E62" s="100" t="inlineStr">
        <is>
          <t>Difference between months he has been for and months he should have been for</t>
        </is>
      </c>
      <c r="F62" s="100" t="inlineStr">
        <is>
          <t>Risk assessment and Substantive Analytical Review</t>
        </is>
      </c>
      <c r="G62" s="101" t="inlineStr">
        <is>
          <t>•        Audit Engagement team to provide the base data</t>
        </is>
      </c>
      <c r="H62" s="100" t="inlineStr">
        <is>
          <t>Custom</t>
        </is>
      </c>
      <c r="I62" s="100" t="inlineStr">
        <is>
          <t>No</t>
        </is>
      </c>
      <c r="J62" s="100" t="inlineStr">
        <is>
          <t>Client's ERP</t>
        </is>
      </c>
      <c r="K62" s="100" t="inlineStr">
        <is>
          <t>FY25-26</t>
        </is>
      </c>
      <c r="L62" s="104" t="n"/>
      <c r="M62" s="104" t="n"/>
      <c r="N62" s="104" t="n"/>
    </row>
    <row r="63" ht="41.55" customHeight="1" s="85">
      <c r="A63" s="99" t="n"/>
      <c r="B63" s="99" t="n"/>
      <c r="G63" s="102" t="inlineStr">
        <is>
          <t>•        DA team will use coding platform Apache Spark - Scala to extract required analysis from Big Data that would be helpful to the Engagement teams</t>
        </is>
      </c>
      <c r="L63" s="104" t="n"/>
      <c r="M63" s="104" t="n"/>
      <c r="N63" s="104" t="n"/>
    </row>
    <row r="64" ht="27.6" customHeight="1" s="85">
      <c r="A64" s="99" t="n"/>
      <c r="B64" s="99" t="n"/>
      <c r="C64" s="95" t="n"/>
      <c r="D64" s="95" t="n"/>
      <c r="E64" s="95" t="n"/>
      <c r="F64" s="95" t="n"/>
      <c r="G64" s="103" t="inlineStr">
        <is>
          <t>•        Deliver the Final Output in the form of Excel sheets</t>
        </is>
      </c>
      <c r="H64" s="95" t="n"/>
      <c r="I64" s="95" t="n"/>
      <c r="J64" s="95" t="n"/>
      <c r="K64" s="95" t="n"/>
      <c r="L64" s="104" t="n"/>
      <c r="M64" s="104" t="n"/>
      <c r="N64" s="104" t="n"/>
    </row>
    <row r="65" ht="13.5" customHeight="1" s="85">
      <c r="A65" s="99" t="n"/>
      <c r="B65" s="99" t="n"/>
      <c r="C65" s="100" t="inlineStr">
        <is>
          <t>Revenue Test</t>
        </is>
      </c>
      <c r="D65" s="100" t="inlineStr"/>
      <c r="E65" s="100" t="inlineStr">
        <is>
          <t>Employee IDs where PAN and/ or AADHAR Structure is not accurate (First 5 digit Alphabet (4th Digit-"P"), Next 4 digit Numbers and Last digit Alphabet) Total-10</t>
        </is>
      </c>
      <c r="F65" s="100" t="inlineStr">
        <is>
          <t>Risk assessment and Substantive Analytical Review</t>
        </is>
      </c>
      <c r="G65" s="101" t="inlineStr">
        <is>
          <t>•        Audit Engagement team to provide the base data</t>
        </is>
      </c>
      <c r="H65" s="100" t="inlineStr">
        <is>
          <t>Custom</t>
        </is>
      </c>
      <c r="I65" s="100" t="inlineStr">
        <is>
          <t>No</t>
        </is>
      </c>
      <c r="J65" s="100" t="inlineStr">
        <is>
          <t>Client's ERP</t>
        </is>
      </c>
      <c r="K65" s="100" t="inlineStr">
        <is>
          <t>FY25-26</t>
        </is>
      </c>
      <c r="L65" s="104" t="n"/>
      <c r="M65" s="104" t="n"/>
      <c r="N65" s="104" t="n"/>
    </row>
    <row r="66" ht="41.55" customHeight="1" s="85">
      <c r="A66" s="99" t="n"/>
      <c r="B66" s="99" t="n"/>
      <c r="G66" s="102" t="inlineStr">
        <is>
          <t>•        DA team will use coding platform Apache Spark - Scala to extract required analysis from Big Data that would be helpful to the Engagement teams</t>
        </is>
      </c>
      <c r="L66" s="104" t="n"/>
      <c r="M66" s="104" t="n"/>
      <c r="N66" s="104" t="n"/>
    </row>
    <row r="67" ht="27.6" customHeight="1" s="85">
      <c r="A67" s="99" t="n"/>
      <c r="B67" s="99" t="n"/>
      <c r="C67" s="95" t="n"/>
      <c r="D67" s="95" t="n"/>
      <c r="E67" s="95" t="n"/>
      <c r="F67" s="95" t="n"/>
      <c r="G67" s="103" t="inlineStr">
        <is>
          <t>•        Deliver the Final Output in the form of Excel sheets</t>
        </is>
      </c>
      <c r="H67" s="95" t="n"/>
      <c r="I67" s="95" t="n"/>
      <c r="J67" s="95" t="n"/>
      <c r="K67" s="95" t="n"/>
      <c r="L67" s="104" t="n"/>
      <c r="M67" s="104" t="n"/>
      <c r="N67" s="104" t="n"/>
    </row>
    <row r="68" ht="13.5" customHeight="1" s="85">
      <c r="A68" s="99" t="n"/>
      <c r="B68" s="99" t="n"/>
      <c r="C68" s="100" t="inlineStr">
        <is>
          <t>Revenue Test</t>
        </is>
      </c>
      <c r="D68" s="100" t="inlineStr"/>
      <c r="E68" s="100" t="inlineStr">
        <is>
          <t>Employee IDs having same PAN</t>
        </is>
      </c>
      <c r="F68" s="100" t="inlineStr">
        <is>
          <t>Risk assessment and Substantive Analytical Review</t>
        </is>
      </c>
      <c r="G68" s="101" t="inlineStr">
        <is>
          <t>•        Audit Engagement team to provide the base data</t>
        </is>
      </c>
      <c r="H68" s="100" t="inlineStr">
        <is>
          <t>Custom</t>
        </is>
      </c>
      <c r="I68" s="100" t="inlineStr">
        <is>
          <t>No</t>
        </is>
      </c>
      <c r="J68" s="100" t="inlineStr">
        <is>
          <t>Client's ERP</t>
        </is>
      </c>
      <c r="K68" s="100" t="inlineStr">
        <is>
          <t>FY25-26</t>
        </is>
      </c>
      <c r="L68" s="104" t="n"/>
      <c r="M68" s="104" t="n"/>
      <c r="N68" s="104" t="n"/>
    </row>
    <row r="69" ht="41.55" customHeight="1" s="85">
      <c r="A69" s="99" t="n"/>
      <c r="B69" s="99" t="n"/>
      <c r="G69" s="102" t="inlineStr">
        <is>
          <t>•        DA team will use coding platform Apache Spark - Scala to extract required analysis from Big Data that would be helpful to the Engagement teams</t>
        </is>
      </c>
      <c r="L69" s="104" t="n"/>
      <c r="M69" s="104" t="n"/>
      <c r="N69" s="104" t="n"/>
    </row>
    <row r="70" ht="27.6" customHeight="1" s="85">
      <c r="A70" s="99" t="n"/>
      <c r="B70" s="99" t="n"/>
      <c r="C70" s="95" t="n"/>
      <c r="D70" s="95" t="n"/>
      <c r="E70" s="95" t="n"/>
      <c r="F70" s="95" t="n"/>
      <c r="G70" s="103" t="inlineStr">
        <is>
          <t>•        Deliver the Final Output in the form of Excel sheets</t>
        </is>
      </c>
      <c r="H70" s="95" t="n"/>
      <c r="I70" s="95" t="n"/>
      <c r="J70" s="95" t="n"/>
      <c r="K70" s="95" t="n"/>
      <c r="L70" s="104" t="n"/>
      <c r="M70" s="104" t="n"/>
      <c r="N70" s="104" t="n"/>
    </row>
    <row r="71" ht="13.5" customHeight="1" s="85">
      <c r="A71" s="99" t="n"/>
      <c r="B71" s="99" t="n"/>
      <c r="C71" s="100" t="inlineStr">
        <is>
          <t>Revenue Test</t>
        </is>
      </c>
      <c r="D71" s="100" t="inlineStr"/>
      <c r="E71" s="100" t="inlineStr">
        <is>
          <t>Employee IDs where net pay is negative</t>
        </is>
      </c>
      <c r="F71" s="100" t="inlineStr">
        <is>
          <t>Risk assessment and Substantive Analytical Review</t>
        </is>
      </c>
      <c r="G71" s="101" t="inlineStr">
        <is>
          <t>•        Audit Engagement team to provide the base data</t>
        </is>
      </c>
      <c r="H71" s="100" t="inlineStr">
        <is>
          <t>Custom</t>
        </is>
      </c>
      <c r="I71" s="100" t="inlineStr">
        <is>
          <t>No</t>
        </is>
      </c>
      <c r="J71" s="100" t="inlineStr">
        <is>
          <t>Client's ERP</t>
        </is>
      </c>
      <c r="K71" s="100" t="inlineStr">
        <is>
          <t>FY25-26</t>
        </is>
      </c>
      <c r="L71" s="104" t="n"/>
      <c r="M71" s="104" t="n"/>
      <c r="N71" s="104" t="n"/>
    </row>
    <row r="72" ht="41.55" customHeight="1" s="85">
      <c r="A72" s="99" t="n"/>
      <c r="B72" s="99" t="n"/>
      <c r="G72" s="102" t="inlineStr">
        <is>
          <t>•        DA team will use coding platform Apache Spark - Scala to extract required analysis from Big Data that would be helpful to the Engagement teams</t>
        </is>
      </c>
      <c r="L72" s="104" t="n"/>
      <c r="M72" s="104" t="n"/>
      <c r="N72" s="104" t="n"/>
    </row>
    <row r="73" ht="27.6" customHeight="1" s="85">
      <c r="A73" s="99" t="n"/>
      <c r="B73" s="99" t="n"/>
      <c r="C73" s="95" t="n"/>
      <c r="D73" s="95" t="n"/>
      <c r="E73" s="95" t="n"/>
      <c r="F73" s="95" t="n"/>
      <c r="G73" s="103" t="inlineStr">
        <is>
          <t>•        Deliver the Final Output in the form of Excel sheets</t>
        </is>
      </c>
      <c r="H73" s="95" t="n"/>
      <c r="I73" s="95" t="n"/>
      <c r="J73" s="95" t="n"/>
      <c r="K73" s="95" t="n"/>
      <c r="L73" s="104" t="n"/>
      <c r="M73" s="104" t="n"/>
      <c r="N73" s="104" t="n"/>
    </row>
    <row r="74" ht="13.5" customHeight="1" s="85">
      <c r="A74" s="99" t="n"/>
      <c r="B74" s="99" t="n"/>
      <c r="C74" s="100" t="inlineStr">
        <is>
          <t>Revenue Test</t>
        </is>
      </c>
      <c r="D74" s="100" t="inlineStr"/>
      <c r="E74" s="100" t="inlineStr">
        <is>
          <t>Employee IDs not having bank account numbers</t>
        </is>
      </c>
      <c r="F74" s="100" t="inlineStr">
        <is>
          <t>Risk assessment and Substantive Analytical Review</t>
        </is>
      </c>
      <c r="G74" s="101" t="inlineStr">
        <is>
          <t>•        Audit Engagement team to provide the base data</t>
        </is>
      </c>
      <c r="H74" s="100" t="inlineStr">
        <is>
          <t>Custom</t>
        </is>
      </c>
      <c r="I74" s="100" t="inlineStr">
        <is>
          <t>No</t>
        </is>
      </c>
      <c r="J74" s="100" t="inlineStr">
        <is>
          <t>Client's ERP</t>
        </is>
      </c>
      <c r="K74" s="100" t="inlineStr">
        <is>
          <t>FY25-26</t>
        </is>
      </c>
      <c r="L74" s="104" t="n"/>
      <c r="M74" s="104" t="n"/>
      <c r="N74" s="104" t="n"/>
    </row>
    <row r="75" ht="41.55" customHeight="1" s="85">
      <c r="A75" s="99" t="n"/>
      <c r="B75" s="99" t="n"/>
      <c r="G75" s="102" t="inlineStr">
        <is>
          <t>•        DA team will use coding platform Apache Spark - Scala to extract required analysis from Big Data that would be helpful to the Engagement teams</t>
        </is>
      </c>
      <c r="L75" s="104" t="n"/>
      <c r="M75" s="104" t="n"/>
      <c r="N75" s="104" t="n"/>
    </row>
    <row r="76" ht="27.6" customHeight="1" s="85">
      <c r="A76" s="99" t="n"/>
      <c r="B76" s="99" t="n"/>
      <c r="C76" s="95" t="n"/>
      <c r="D76" s="95" t="n"/>
      <c r="E76" s="95" t="n"/>
      <c r="F76" s="95" t="n"/>
      <c r="G76" s="103" t="inlineStr">
        <is>
          <t>•        Deliver the Final Output in the form of Excel sheets</t>
        </is>
      </c>
      <c r="H76" s="95" t="n"/>
      <c r="I76" s="95" t="n"/>
      <c r="J76" s="95" t="n"/>
      <c r="K76" s="95" t="n"/>
      <c r="L76" s="104" t="n"/>
      <c r="M76" s="104" t="n"/>
      <c r="N76" s="104" t="n"/>
    </row>
    <row r="77" ht="13.5" customHeight="1" s="85">
      <c r="A77" s="99" t="n"/>
      <c r="B77" s="99" t="n"/>
      <c r="C77" s="100" t="inlineStr">
        <is>
          <t>Revenue Test</t>
        </is>
      </c>
      <c r="D77" s="100" t="inlineStr"/>
      <c r="E77" s="100" t="inlineStr">
        <is>
          <t>Employee IDs with more than one designation in a year</t>
        </is>
      </c>
      <c r="F77" s="100" t="inlineStr">
        <is>
          <t>Risk assessment and Substantive Analytical Review</t>
        </is>
      </c>
      <c r="G77" s="101" t="inlineStr">
        <is>
          <t>•        Audit Engagement team to provide the base data</t>
        </is>
      </c>
      <c r="H77" s="100" t="inlineStr">
        <is>
          <t>Custom</t>
        </is>
      </c>
      <c r="I77" s="100" t="inlineStr">
        <is>
          <t>No</t>
        </is>
      </c>
      <c r="J77" s="100" t="inlineStr">
        <is>
          <t>Client's ERP</t>
        </is>
      </c>
      <c r="K77" s="100" t="inlineStr">
        <is>
          <t>FY25-26</t>
        </is>
      </c>
      <c r="L77" s="104" t="n"/>
      <c r="M77" s="104" t="n"/>
      <c r="N77" s="104" t="n"/>
    </row>
    <row r="78" ht="41.55" customHeight="1" s="85">
      <c r="A78" s="99" t="n"/>
      <c r="B78" s="99" t="n"/>
      <c r="G78" s="102" t="inlineStr">
        <is>
          <t>•        DA team will use coding platform Apache Spark - Scala to extract required analysis from Big Data that would be helpful to the Engagement teams</t>
        </is>
      </c>
      <c r="L78" s="104" t="n"/>
      <c r="M78" s="104" t="n"/>
      <c r="N78" s="104" t="n"/>
    </row>
    <row r="79" ht="27.6" customHeight="1" s="85">
      <c r="A79" s="99" t="n"/>
      <c r="B79" s="99" t="n"/>
      <c r="C79" s="95" t="n"/>
      <c r="D79" s="95" t="n"/>
      <c r="E79" s="95" t="n"/>
      <c r="F79" s="95" t="n"/>
      <c r="G79" s="103" t="inlineStr">
        <is>
          <t>•        Deliver the Final Output in the form of Excel sheets</t>
        </is>
      </c>
      <c r="H79" s="95" t="n"/>
      <c r="I79" s="95" t="n"/>
      <c r="J79" s="95" t="n"/>
      <c r="K79" s="95" t="n"/>
      <c r="L79" s="104" t="n"/>
      <c r="M79" s="104" t="n"/>
      <c r="N79" s="104" t="n"/>
    </row>
    <row r="80">
      <c r="C80" s="73" t="n"/>
      <c r="D80" s="73" t="n"/>
      <c r="E80" s="73" t="n"/>
      <c r="F80" s="73" t="n"/>
      <c r="G80" s="102" t="n"/>
      <c r="H80" s="73" t="n"/>
      <c r="I80" s="73" t="n"/>
      <c r="J80" s="73" t="n"/>
      <c r="K80" s="73" t="n"/>
      <c r="L80" s="32" t="n"/>
      <c r="M80" s="32" t="n"/>
      <c r="N80" s="32" t="n"/>
      <c r="O80" s="32" t="n"/>
      <c r="P80" s="32" t="n"/>
      <c r="Q80" s="32" t="n"/>
      <c r="R80" s="32" t="n"/>
      <c r="S80" s="32" t="n"/>
      <c r="T80" s="32" t="n"/>
      <c r="U80" s="32" t="n"/>
      <c r="V80" s="32" t="n"/>
    </row>
    <row r="81">
      <c r="B81" s="33" t="n"/>
      <c r="C81" s="73" t="n"/>
      <c r="D81" s="73" t="n"/>
      <c r="E81" s="73" t="n"/>
      <c r="F81" s="73" t="n"/>
      <c r="G81" s="102" t="n"/>
      <c r="H81" s="73" t="n"/>
      <c r="I81" s="73" t="n"/>
      <c r="J81" s="73" t="n"/>
      <c r="K81" s="73" t="n"/>
      <c r="L81" s="33" t="n"/>
      <c r="M81" s="33" t="n"/>
      <c r="N81" s="33" t="n"/>
      <c r="O81" s="43" t="n"/>
      <c r="P81" s="43" t="n"/>
      <c r="Q81" s="43" t="n"/>
      <c r="R81" s="43" t="n"/>
      <c r="S81" s="43" t="n"/>
      <c r="T81" s="43" t="n"/>
      <c r="U81" s="43" t="n"/>
      <c r="V81" s="33" t="n"/>
    </row>
    <row r="82">
      <c r="B82" s="33" t="n"/>
      <c r="C82" s="73" t="n"/>
      <c r="D82" s="73" t="n"/>
      <c r="E82" s="73" t="n"/>
      <c r="F82" s="73" t="n"/>
      <c r="G82" s="102" t="n"/>
      <c r="H82" s="73" t="n"/>
      <c r="I82" s="73" t="n"/>
      <c r="J82" s="73" t="n"/>
      <c r="K82" s="73" t="n"/>
      <c r="L82" s="33" t="n"/>
      <c r="M82" s="33" t="n"/>
      <c r="N82" s="33" t="n"/>
      <c r="O82" s="43" t="n"/>
      <c r="P82" s="43" t="n"/>
      <c r="Q82" s="43" t="n"/>
      <c r="R82" s="43" t="n"/>
      <c r="S82" s="43" t="n"/>
      <c r="T82" s="43" t="n"/>
      <c r="U82" s="43" t="n"/>
      <c r="V82" s="33" t="n"/>
    </row>
    <row r="83">
      <c r="B83" s="31" t="inlineStr">
        <is>
          <t xml:space="preserve">The total time for this package analysis took </t>
        </is>
      </c>
      <c r="C83" s="73" t="n"/>
      <c r="D83" s="73" t="n"/>
      <c r="E83" s="73" t="n"/>
      <c r="F83" s="73" t="n"/>
      <c r="G83" s="102" t="n"/>
      <c r="H83" s="73" t="n"/>
      <c r="I83" s="73" t="n"/>
      <c r="J83" s="73" t="n"/>
      <c r="K83" s="73" t="n"/>
      <c r="L83" s="33" t="n"/>
      <c r="M83" s="33" t="n"/>
      <c r="N83" s="33" t="n"/>
      <c r="O83" s="43" t="n"/>
      <c r="P83" s="43" t="n"/>
      <c r="Q83" s="43" t="n"/>
      <c r="R83" s="43" t="n"/>
      <c r="S83" s="43" t="n"/>
      <c r="T83" s="43" t="n"/>
      <c r="U83" s="43" t="n"/>
      <c r="V83" s="33" t="n"/>
    </row>
    <row r="84">
      <c r="B84" s="33" t="n"/>
      <c r="C84" s="73" t="n"/>
      <c r="D84" s="73" t="n"/>
      <c r="E84" s="73" t="n"/>
      <c r="F84" s="73" t="n"/>
      <c r="G84" s="102" t="n"/>
      <c r="H84" s="73" t="n"/>
      <c r="I84" s="73" t="n"/>
      <c r="J84" s="73" t="n"/>
      <c r="K84" s="73" t="n"/>
      <c r="L84" s="33" t="n"/>
      <c r="M84" s="33" t="n"/>
      <c r="N84" s="33" t="n"/>
      <c r="O84" s="43" t="n"/>
      <c r="P84" s="43" t="n"/>
      <c r="Q84" s="43" t="n"/>
      <c r="R84" s="43" t="n"/>
      <c r="S84" s="43" t="n"/>
      <c r="T84" s="43" t="n"/>
      <c r="U84" s="43" t="n"/>
      <c r="V84" s="33" t="n"/>
    </row>
    <row r="85">
      <c r="B85" s="58" t="inlineStr">
        <is>
          <t>Person in Charge</t>
        </is>
      </c>
      <c r="C85" s="105" t="inlineStr">
        <is>
          <t>Contents</t>
        </is>
      </c>
      <c r="D85" s="87" t="n"/>
      <c r="E85" s="87" t="n"/>
      <c r="F85" s="87" t="n"/>
      <c r="G85" s="87" t="n"/>
      <c r="H85" s="88" t="n"/>
      <c r="I85" s="105" t="inlineStr">
        <is>
          <t>Time (H)</t>
        </is>
      </c>
      <c r="J85" s="88" t="n"/>
      <c r="K85" s="43" t="n"/>
      <c r="L85" s="43" t="n"/>
      <c r="M85" s="43" t="n"/>
      <c r="O85" s="43" t="n"/>
      <c r="P85" s="43" t="n"/>
      <c r="Q85" s="43" t="n"/>
      <c r="R85" s="43" t="n"/>
      <c r="S85" s="43" t="n"/>
      <c r="T85" s="43" t="n"/>
      <c r="U85" s="43" t="n"/>
      <c r="V85" s="28" t="n"/>
    </row>
    <row r="86" ht="20" customHeight="1" s="85">
      <c r="B86" s="35" t="inlineStr">
        <is>
          <t>Darshil Maru</t>
        </is>
      </c>
      <c r="C86" s="49" t="inlineStr">
        <is>
          <t>Time spent on package analysis</t>
        </is>
      </c>
      <c r="D86" s="106" t="n"/>
      <c r="E86" s="106" t="n"/>
      <c r="F86" s="106" t="n"/>
      <c r="G86" s="106" t="n"/>
      <c r="H86" s="106" t="n"/>
      <c r="I86" s="107" t="n">
        <v>12</v>
      </c>
      <c r="J86" s="108" t="n"/>
      <c r="K86" s="43" t="n"/>
      <c r="L86" s="43" t="n"/>
      <c r="M86" s="43" t="n"/>
      <c r="O86" s="43" t="n"/>
      <c r="P86" s="43" t="n"/>
      <c r="Q86" s="43" t="n"/>
      <c r="R86" s="43" t="n"/>
      <c r="S86" s="43" t="n"/>
      <c r="T86" s="43" t="n"/>
      <c r="U86" s="43" t="n"/>
      <c r="V86" s="28" t="n"/>
    </row>
    <row r="87" ht="20" customHeight="1" s="85">
      <c r="B87" s="35" t="inlineStr">
        <is>
          <t>Aayush Upadhyay</t>
        </is>
      </c>
      <c r="C87" s="49" t="inlineStr">
        <is>
          <t>Time spent on package analysis</t>
        </is>
      </c>
      <c r="D87" s="106" t="n"/>
      <c r="E87" s="106" t="n"/>
      <c r="F87" s="106" t="n"/>
      <c r="G87" s="106" t="n"/>
      <c r="H87" s="106" t="n"/>
      <c r="I87" s="107" t="n">
        <v>43</v>
      </c>
      <c r="J87" s="108" t="n"/>
      <c r="K87" s="43" t="n"/>
      <c r="L87" s="43" t="n"/>
      <c r="M87" s="43" t="n"/>
      <c r="O87" s="43" t="n"/>
      <c r="P87" s="43" t="n"/>
      <c r="Q87" s="43" t="n"/>
      <c r="R87" s="43" t="n"/>
      <c r="S87" s="43" t="n"/>
      <c r="T87" s="43" t="n"/>
      <c r="U87" s="43" t="n"/>
      <c r="V87" s="28" t="n"/>
    </row>
    <row r="88" ht="20" customHeight="1" s="85">
      <c r="B88" s="35" t="inlineStr">
        <is>
          <t>Vaishnavi</t>
        </is>
      </c>
      <c r="C88" s="109" t="inlineStr">
        <is>
          <t>Time spent on package analysis</t>
        </is>
      </c>
      <c r="D88" s="106" t="n"/>
      <c r="E88" s="106" t="n"/>
      <c r="F88" s="106" t="n"/>
      <c r="G88" s="106" t="n"/>
      <c r="H88" s="106" t="n"/>
      <c r="I88" s="107" t="n">
        <v>12</v>
      </c>
      <c r="J88" s="108" t="n"/>
      <c r="K88" s="43" t="n"/>
      <c r="L88" s="43" t="n"/>
      <c r="M88" s="43" t="n"/>
      <c r="O88" s="43" t="n"/>
      <c r="P88" s="43" t="n"/>
      <c r="Q88" s="43" t="n"/>
      <c r="R88" s="43" t="n"/>
      <c r="S88" s="43" t="n"/>
      <c r="T88" s="43" t="n"/>
      <c r="U88" s="43" t="n"/>
      <c r="V88" s="28" t="n"/>
    </row>
    <row r="89">
      <c r="B89" s="110" t="inlineStr">
        <is>
          <t>Total</t>
        </is>
      </c>
      <c r="C89" s="111" t="n"/>
      <c r="D89" s="111" t="n"/>
      <c r="E89" s="111" t="n"/>
      <c r="F89" s="111" t="n"/>
      <c r="G89" s="111" t="n"/>
      <c r="H89" s="111" t="n"/>
      <c r="I89" s="112">
        <f>SUM(I86:J88)</f>
        <v/>
      </c>
      <c r="J89" s="111" t="n"/>
      <c r="K89" s="43" t="n"/>
      <c r="L89" s="43" t="n"/>
      <c r="M89" s="43" t="n"/>
      <c r="N89" s="28" t="n"/>
      <c r="O89" s="43" t="n"/>
      <c r="P89" s="43" t="n"/>
      <c r="Q89" s="43" t="n"/>
      <c r="R89" s="43" t="n"/>
      <c r="S89" s="43" t="n"/>
      <c r="T89" s="43" t="n"/>
      <c r="U89" s="43" t="n"/>
      <c r="V89" s="28" t="n"/>
    </row>
    <row r="90">
      <c r="B90" s="28" t="n"/>
      <c r="C90" s="28" t="n"/>
      <c r="D90" s="28" t="n"/>
      <c r="E90" s="28" t="n"/>
      <c r="F90" s="28" t="n"/>
      <c r="G90" s="28" t="n"/>
      <c r="H90" s="28" t="n"/>
      <c r="I90" s="28" t="n"/>
      <c r="J90" s="28" t="n"/>
      <c r="K90" s="28" t="n"/>
      <c r="L90" s="28" t="n"/>
      <c r="M90" s="28" t="n"/>
      <c r="N90" s="28" t="n"/>
      <c r="O90" s="43" t="n"/>
      <c r="P90" s="43" t="n"/>
      <c r="Q90" s="43" t="n"/>
      <c r="R90" s="43" t="n"/>
      <c r="S90" s="43" t="n"/>
      <c r="T90" s="43" t="n"/>
      <c r="U90" s="43" t="n"/>
      <c r="V90" s="28" t="n"/>
    </row>
    <row r="91">
      <c r="B91" s="28" t="n"/>
      <c r="C91" s="28" t="n"/>
      <c r="D91" s="28" t="n"/>
      <c r="E91" s="28" t="n"/>
      <c r="F91" s="28" t="n"/>
      <c r="G91" s="28" t="n"/>
      <c r="H91" s="28" t="n"/>
      <c r="I91" s="28" t="n"/>
      <c r="J91" s="28" t="n"/>
      <c r="K91" s="28" t="n"/>
      <c r="L91" s="28" t="n"/>
      <c r="M91" s="28" t="n"/>
      <c r="N91" s="28" t="n"/>
      <c r="O91" s="43" t="n"/>
      <c r="P91" s="43" t="n"/>
      <c r="Q91" s="43" t="n"/>
      <c r="R91" s="43" t="n"/>
      <c r="S91" s="43" t="n"/>
      <c r="T91" s="43" t="n"/>
      <c r="U91" s="43" t="n"/>
      <c r="V91" s="28" t="n"/>
    </row>
  </sheetData>
  <mergeCells count="151">
    <mergeCell ref="J35:J37"/>
    <mergeCell ref="J50:J52"/>
    <mergeCell ref="C85:H85"/>
    <mergeCell ref="D53:D55"/>
    <mergeCell ref="I89:J89"/>
    <mergeCell ref="B8:G8"/>
    <mergeCell ref="D68:D70"/>
    <mergeCell ref="I38:I40"/>
    <mergeCell ref="K38:K40"/>
    <mergeCell ref="C32:C34"/>
    <mergeCell ref="C38:C40"/>
    <mergeCell ref="E32:E34"/>
    <mergeCell ref="D29:D31"/>
    <mergeCell ref="F29:F31"/>
    <mergeCell ref="E71:E73"/>
    <mergeCell ref="H59:H61"/>
    <mergeCell ref="I74:I76"/>
    <mergeCell ref="K74:K76"/>
    <mergeCell ref="H29:H31"/>
    <mergeCell ref="D65:D67"/>
    <mergeCell ref="J29:J31"/>
    <mergeCell ref="F65:F67"/>
    <mergeCell ref="J38:J40"/>
    <mergeCell ref="C18:E18"/>
    <mergeCell ref="K44:K46"/>
    <mergeCell ref="H74:H76"/>
    <mergeCell ref="C87:H87"/>
    <mergeCell ref="F59:F61"/>
    <mergeCell ref="C41:C43"/>
    <mergeCell ref="C35:C37"/>
    <mergeCell ref="C50:C52"/>
    <mergeCell ref="K59:K61"/>
    <mergeCell ref="E35:E37"/>
    <mergeCell ref="C44:C46"/>
    <mergeCell ref="C59:C61"/>
    <mergeCell ref="E44:E46"/>
    <mergeCell ref="E59:E61"/>
    <mergeCell ref="I53:I55"/>
    <mergeCell ref="K47:K49"/>
    <mergeCell ref="C88:H88"/>
    <mergeCell ref="B9:G12"/>
    <mergeCell ref="D41:D43"/>
    <mergeCell ref="F41:F43"/>
    <mergeCell ref="I68:I70"/>
    <mergeCell ref="F50:F52"/>
    <mergeCell ref="H32:H34"/>
    <mergeCell ref="J32:J34"/>
    <mergeCell ref="D56:D58"/>
    <mergeCell ref="E77:E79"/>
    <mergeCell ref="I86:J86"/>
    <mergeCell ref="I29:I31"/>
    <mergeCell ref="H71:H73"/>
    <mergeCell ref="J71:J73"/>
    <mergeCell ref="B89:H89"/>
    <mergeCell ref="E62:E64"/>
    <mergeCell ref="F77:F79"/>
    <mergeCell ref="D35:D37"/>
    <mergeCell ref="I65:I67"/>
    <mergeCell ref="D44:D46"/>
    <mergeCell ref="K65:K67"/>
    <mergeCell ref="F44:F46"/>
    <mergeCell ref="C62:C64"/>
    <mergeCell ref="H35:H37"/>
    <mergeCell ref="H44:H46"/>
    <mergeCell ref="J44:J46"/>
    <mergeCell ref="J53:J55"/>
    <mergeCell ref="J77:J79"/>
    <mergeCell ref="E38:E40"/>
    <mergeCell ref="I41:I43"/>
    <mergeCell ref="I88:J88"/>
    <mergeCell ref="K41:K43"/>
    <mergeCell ref="K35:K37"/>
    <mergeCell ref="K50:K52"/>
    <mergeCell ref="I56:I58"/>
    <mergeCell ref="F56:F58"/>
    <mergeCell ref="D32:D34"/>
    <mergeCell ref="C71:C73"/>
    <mergeCell ref="F32:F34"/>
    <mergeCell ref="E65:E67"/>
    <mergeCell ref="C16:E16"/>
    <mergeCell ref="E74:E76"/>
    <mergeCell ref="J62:J64"/>
    <mergeCell ref="K77:K79"/>
    <mergeCell ref="F38:F40"/>
    <mergeCell ref="D74:D76"/>
    <mergeCell ref="D71:D73"/>
    <mergeCell ref="H77:H79"/>
    <mergeCell ref="H47:H49"/>
    <mergeCell ref="H62:H64"/>
    <mergeCell ref="I59:I61"/>
    <mergeCell ref="C53:C55"/>
    <mergeCell ref="J56:J58"/>
    <mergeCell ref="K62:K64"/>
    <mergeCell ref="E53:E55"/>
    <mergeCell ref="E47:E49"/>
    <mergeCell ref="C68:C70"/>
    <mergeCell ref="H38:H40"/>
    <mergeCell ref="D50:D52"/>
    <mergeCell ref="D59:D61"/>
    <mergeCell ref="I87:J87"/>
    <mergeCell ref="F53:F55"/>
    <mergeCell ref="H53:H55"/>
    <mergeCell ref="C29:C31"/>
    <mergeCell ref="F68:F70"/>
    <mergeCell ref="I47:I49"/>
    <mergeCell ref="E29:E31"/>
    <mergeCell ref="H50:H52"/>
    <mergeCell ref="H68:H70"/>
    <mergeCell ref="C86:H86"/>
    <mergeCell ref="K56:K58"/>
    <mergeCell ref="J59:J61"/>
    <mergeCell ref="I32:I34"/>
    <mergeCell ref="K32:K34"/>
    <mergeCell ref="J74:J76"/>
    <mergeCell ref="J68:J70"/>
    <mergeCell ref="D77:D79"/>
    <mergeCell ref="D47:D49"/>
    <mergeCell ref="F47:F49"/>
    <mergeCell ref="I71:I73"/>
    <mergeCell ref="C56:C58"/>
    <mergeCell ref="D62:D64"/>
    <mergeCell ref="F62:F64"/>
    <mergeCell ref="F71:F73"/>
    <mergeCell ref="H65:H67"/>
    <mergeCell ref="J47:J49"/>
    <mergeCell ref="E41:E43"/>
    <mergeCell ref="C77:C79"/>
    <mergeCell ref="E50:E52"/>
    <mergeCell ref="I35:I37"/>
    <mergeCell ref="I50:I52"/>
    <mergeCell ref="I44:I46"/>
    <mergeCell ref="E56:E58"/>
    <mergeCell ref="I85:J85"/>
    <mergeCell ref="K53:K55"/>
    <mergeCell ref="D38:D40"/>
    <mergeCell ref="C17:E17"/>
    <mergeCell ref="K68:K70"/>
    <mergeCell ref="C74:C76"/>
    <mergeCell ref="E68:E70"/>
    <mergeCell ref="I77:I79"/>
    <mergeCell ref="J65:J67"/>
    <mergeCell ref="K29:K31"/>
    <mergeCell ref="H41:H43"/>
    <mergeCell ref="F74:F76"/>
    <mergeCell ref="H56:H58"/>
    <mergeCell ref="I62:I64"/>
    <mergeCell ref="F35:F37"/>
    <mergeCell ref="C65:C67"/>
    <mergeCell ref="C47:C49"/>
    <mergeCell ref="K71:K73"/>
    <mergeCell ref="J41:J43"/>
  </mergeCells>
  <dataValidations disablePrompts="1" count="1">
    <dataValidation sqref="T8:V12" showDropDown="0" showInputMessage="1" showErrorMessage="0" allowBlank="1" type="list">
      <formula1>#REF!</formula1>
    </dataValidation>
  </dataValidations>
  <printOptions gridLinesSet="0"/>
  <pageMargins left="0.25" right="0.25" top="0.75" bottom="0.75" header="0.3" footer="0.3"/>
  <pageSetup orientation="portrait" paperSize="9" scale="43" fitToHeight="0" horizontalDpi="429496729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48"/>
  <sheetViews>
    <sheetView showGridLines="1" tabSelected="1" workbookViewId="0">
      <selection activeCell="C19" sqref="C19"/>
    </sheetView>
  </sheetViews>
  <sheetFormatPr baseColWidth="8" defaultColWidth="9.21875" defaultRowHeight="14.4"/>
  <cols>
    <col width="2.21875" customWidth="1" style="85" min="1" max="1"/>
    <col width="12.44140625" customWidth="1" style="85" min="2" max="2"/>
    <col width="61.44140625" customWidth="1" style="85" min="3" max="3"/>
    <col width="65.77734375" customWidth="1" style="85" min="4" max="4"/>
  </cols>
  <sheetData>
    <row r="1" ht="10.2" customFormat="1" customHeight="1" s="15">
      <c r="E1" s="16" t="n"/>
    </row>
    <row r="2" ht="10.2" customFormat="1" customHeight="1" s="15">
      <c r="B2" s="17" t="inlineStr">
        <is>
          <t>Fiscal Year</t>
        </is>
      </c>
      <c r="C2" s="18" t="inlineStr">
        <is>
          <t>FY25-26</t>
        </is>
      </c>
      <c r="D2" s="19" t="n"/>
      <c r="E2" s="16" t="n"/>
    </row>
    <row r="3" ht="10.2" customFormat="1" customHeight="1" s="15">
      <c r="B3" s="17" t="inlineStr">
        <is>
          <t>Manual</t>
        </is>
      </c>
      <c r="C3" s="20" t="inlineStr">
        <is>
          <t>DHS LLP 22852</t>
        </is>
      </c>
      <c r="D3" s="19" t="n"/>
      <c r="E3" s="16" t="n"/>
    </row>
    <row r="4" ht="10.2" customFormat="1" customHeight="1" s="15">
      <c r="E4" s="16" t="n"/>
    </row>
    <row r="5" ht="34.95" customFormat="1" customHeight="1" s="15">
      <c r="B5" s="17" t="inlineStr">
        <is>
          <t>Purpose</t>
        </is>
      </c>
      <c r="C5" s="113" t="inlineStr">
        <is>
          <t>This workpaper documents the procedures performed to confirm that the engagement specific tool used during the FY FY25-26 financial statement audit meets the requirements detailed in the DHS LLP 22852 guidance (Controls Over Audit Tools)</t>
        </is>
      </c>
      <c r="D5" s="88" t="n"/>
      <c r="E5" s="16" t="n"/>
    </row>
    <row r="6" ht="10.2" customFormat="1" customHeight="1" s="16"/>
    <row r="7" ht="10.2" customFormat="1" customHeight="1" s="16"/>
    <row r="8" ht="10.2" customFormat="1" customHeight="1" s="16">
      <c r="B8" s="22" t="inlineStr">
        <is>
          <t>Classification</t>
        </is>
      </c>
      <c r="C8" s="21" t="inlineStr">
        <is>
          <t>Engagement team specific tool</t>
        </is>
      </c>
    </row>
    <row r="9" ht="10.2" customFormat="1" customHeight="1" s="16"/>
    <row r="10" ht="10.2" customFormat="1" customHeight="1" s="16"/>
    <row r="11" ht="10.2" customFormat="1" customHeight="1" s="15">
      <c r="A11" s="23" t="n"/>
      <c r="B11" s="24" t="inlineStr">
        <is>
          <t>#</t>
        </is>
      </c>
      <c r="C11" s="25" t="inlineStr">
        <is>
          <t>Audit Tool Procedure</t>
        </is>
      </c>
      <c r="D11" s="25" t="inlineStr">
        <is>
          <t>Results</t>
        </is>
      </c>
      <c r="E11" s="16" t="n"/>
    </row>
    <row r="12" ht="26.55" customFormat="1" customHeight="1" s="15">
      <c r="B12" s="84" t="n">
        <v>1</v>
      </c>
      <c r="C12" s="83" t="inlineStr">
        <is>
          <t>Payroll processed for an employee though joining date is after the cut off date</t>
        </is>
      </c>
      <c r="D12" s="83" t="inlineStr">
        <is>
          <t>Compared payroll disbursement records against onboarding files to flag instances where salaries were processed for employees prior to their official date of joining.</t>
        </is>
      </c>
      <c r="E12" s="16" t="n"/>
    </row>
    <row r="13" ht="26.55" customFormat="1" customHeight="1" s="15">
      <c r="B13" s="84" t="n">
        <v>2</v>
      </c>
      <c r="C13" s="83" t="inlineStr">
        <is>
          <t>No TDS amount though it is likely to be applicable based on current salary structure</t>
        </is>
      </c>
      <c r="D13" s="83" t="inlineStr">
        <is>
          <t>Evaluated projected annual earnings against statutory income tax slabs to identify employees whose taxable salaries are not subjected to monthly TDS deductions.</t>
        </is>
      </c>
      <c r="E13" s="16" t="n"/>
    </row>
    <row r="14" ht="26.55" customFormat="1" customHeight="1" s="15">
      <c r="B14" s="114" t="n">
        <v>3</v>
      </c>
      <c r="C14" s="115" t="inlineStr">
        <is>
          <t>Employees having no employee code</t>
        </is>
      </c>
      <c r="D14" s="115" t="inlineStr">
        <is>
          <t>Extracted active employee listings and payroll disbursements where the mandatory Employee Code field is blank, presenting high internal control vulnerabilities.</t>
        </is>
      </c>
    </row>
    <row r="15" ht="26.55" customHeight="1" s="85">
      <c r="B15" s="114" t="n">
        <v>4</v>
      </c>
      <c r="C15" s="115" t="inlineStr">
        <is>
          <t>Bank Account numbers are repetitive</t>
        </is>
      </c>
      <c r="D15" s="115" t="inlineStr">
        <is>
          <t>Analyzed payroll bank details to identify matching bank account numbers shared across different employee profiles, representing a primary indicator of ghost employee fraud.</t>
        </is>
      </c>
    </row>
    <row r="16" ht="26.55" customHeight="1" s="85">
      <c r="B16" s="114" t="n">
        <v>5</v>
      </c>
      <c r="C16" s="115" t="inlineStr">
        <is>
          <t>Employee IDs whose Employee department is blank</t>
        </is>
      </c>
      <c r="D16" s="115" t="inlineStr">
        <is>
          <t>Identified active employee profiles lacking cost center or department attributes in the HR master, hindering payroll cost allocation.</t>
        </is>
      </c>
    </row>
    <row r="17" ht="26.55" customHeight="1" s="85">
      <c r="B17" s="114" t="n">
        <v>6</v>
      </c>
      <c r="C17" s="115" t="inlineStr">
        <is>
          <t>Employee IDs where Employee designation is blank</t>
        </is>
      </c>
      <c r="D17" s="115" t="inlineStr">
        <is>
          <t>Scanned active employee databases to flag missing designation details, compromising grading structure controls.</t>
        </is>
      </c>
    </row>
    <row r="18" ht="26.55" customHeight="1" s="85">
      <c r="B18" s="114" t="n">
        <v>7</v>
      </c>
      <c r="C18" s="115" t="inlineStr">
        <is>
          <t>Employees with duplicate employee IDs</t>
        </is>
      </c>
      <c r="D18" s="115" t="inlineStr">
        <is>
          <t>Performed deduplication audits on the payroll master to identify duplicate active records under a single employee ID.</t>
        </is>
      </c>
    </row>
    <row r="19" ht="26.55" customHeight="1" s="85">
      <c r="B19" s="114" t="n">
        <v>8</v>
      </c>
      <c r="C19" s="115" t="inlineStr">
        <is>
          <t>Instances where Gross Pay less Total deductions is not equal to net pay</t>
        </is>
      </c>
      <c r="D19" s="115" t="inlineStr">
        <is>
          <t>Recalculated individual net pays by subtracting recorded deductions from gross pay and matched results with reported net pay to isolate accounting calculation errors.</t>
        </is>
      </c>
    </row>
    <row r="20" ht="26.55" customHeight="1" s="85">
      <c r="B20" s="114" t="n">
        <v>9</v>
      </c>
      <c r="C20" s="115" t="inlineStr">
        <is>
          <t>Employee IDs where total days in a month less than LOP is not equal to number of days for which salary is paid for</t>
        </is>
      </c>
      <c r="D20" s="115" t="inlineStr">
        <is>
          <t>Recalculated paid days using the formula (Calendar Days - Loss of Pay Days) and cross-checked against actual paid days to flag paid day inflation or leakages.</t>
        </is>
      </c>
    </row>
    <row r="21" ht="26.55" customHeight="1" s="85">
      <c r="B21" s="114" t="n">
        <v>10</v>
      </c>
      <c r="C21" s="115" t="inlineStr">
        <is>
          <t>Employee IDs where PF as % of Basic or on Rs. 15,000 is not equal to 12%</t>
        </is>
      </c>
      <c r="D21" s="115" t="inlineStr">
        <is>
          <t>Recalculated Provident Fund contributions based on 12% of basic salary (or capped at the statutory INR 15,000 cap) and identified variances in actual deductions.</t>
        </is>
      </c>
    </row>
    <row r="22" ht="26.55" customHeight="1" s="85">
      <c r="B22" s="114" t="n">
        <v>11</v>
      </c>
      <c r="C22" s="115" t="inlineStr">
        <is>
          <t>Employee IDs where salary paid is for a period different from the total tenure of that employee during the year</t>
        </is>
      </c>
      <c r="D22" s="115" t="inlineStr">
        <is>
          <t>Compared the total months/days of salary processed against the actual active tenure of employees (from date of join/exit) to flag unauthorized compensation.</t>
        </is>
      </c>
    </row>
    <row r="23" ht="26.55" customHeight="1" s="85">
      <c r="B23" s="114" t="n">
        <v>12</v>
      </c>
      <c r="C23" s="115" t="inlineStr">
        <is>
          <t>Difference between months he has been for and months he should have been for</t>
        </is>
      </c>
      <c r="D23" s="115" t="inlineStr">
        <is>
          <t>Computed employee service duration based on joining/exit dates and compared it to cumulative months of salary disbursed during the fiscal year to isolate discrepancies.</t>
        </is>
      </c>
    </row>
    <row r="24" ht="26.55" customHeight="1" s="85">
      <c r="B24" s="114" t="n">
        <v>13</v>
      </c>
      <c r="C24" s="115" t="inlineStr">
        <is>
          <t>Employee IDs where PAN and/ or AADHAR Structure is not accurate (First 5 digit Alphabet (4th Digit-"P"), Next 4 digit Numbers and Last digit Alphabet) Total-10</t>
        </is>
      </c>
      <c r="D24" s="115" t="inlineStr">
        <is>
          <t>Validated employee PAN and Aadhaar records against standard statutory structural formats to detect invalid, placeholder, or structurally flawed identification documents.</t>
        </is>
      </c>
    </row>
    <row r="25" ht="26.55" customHeight="1" s="85">
      <c r="B25" s="114" t="n">
        <v>14</v>
      </c>
      <c r="C25" s="115" t="inlineStr">
        <is>
          <t>Employee IDs having same PAN</t>
        </is>
      </c>
      <c r="D25" s="115" t="inlineStr">
        <is>
          <t>Identified employee master records where the same PAN number is associated with more than one employee ID, signaling potential identity sharing or duplicate payroll records.</t>
        </is>
      </c>
    </row>
    <row r="26" ht="26.55" customHeight="1" s="85">
      <c r="B26" s="114" t="n">
        <v>15</v>
      </c>
      <c r="C26" s="115" t="inlineStr">
        <is>
          <t>Employee IDs where net pay is negative</t>
        </is>
      </c>
      <c r="D26" s="115" t="inlineStr">
        <is>
          <t>Filtered monthly payroll dumps to isolate employees with negative net pay balances, indicating excess deductions, recovery errors, or incorrect salary reversals.</t>
        </is>
      </c>
    </row>
    <row r="27" ht="26.55" customHeight="1" s="85">
      <c r="B27" s="114" t="n">
        <v>16</v>
      </c>
      <c r="C27" s="115" t="inlineStr">
        <is>
          <t>Employee IDs not having bank account numbers</t>
        </is>
      </c>
      <c r="D27" s="115" t="inlineStr">
        <is>
          <t>Scanned active payroll master databases to isolate records lacking payment bank account configurations, exposing transactions to untrackable cash or manual payment risks.</t>
        </is>
      </c>
    </row>
    <row r="28" ht="26.55" customHeight="1" s="85">
      <c r="B28" s="114" t="n">
        <v>17</v>
      </c>
      <c r="C28" s="115" t="inlineStr">
        <is>
          <t>Employee IDs with more than one designation in a year</t>
        </is>
      </c>
      <c r="D28" s="115" t="inlineStr">
        <is>
          <t>Tracked mid-year promotional and classification records to ensure employee profiles updating multiple designations are backed by authorized promotional logs.</t>
        </is>
      </c>
    </row>
    <row r="29" ht="26.55" customHeight="1" s="85">
      <c r="B29" s="80" t="n"/>
      <c r="C29" s="81" t="n"/>
      <c r="D29" s="82" t="n"/>
      <c r="E29" s="16" t="n"/>
    </row>
    <row r="30" ht="26.55" customHeight="1" s="85">
      <c r="B30" s="80" t="n"/>
      <c r="C30" s="81" t="n"/>
      <c r="D30" s="82" t="n"/>
    </row>
    <row r="31" ht="26.55" customHeight="1" s="85">
      <c r="B31" s="80" t="n"/>
      <c r="C31" s="81" t="n"/>
      <c r="D31" s="82" t="n"/>
    </row>
    <row r="32" ht="26.55" customHeight="1" s="85">
      <c r="B32" s="80" t="n"/>
      <c r="C32" s="81" t="n"/>
      <c r="D32" s="82" t="n"/>
    </row>
    <row r="33" ht="26.55" customHeight="1" s="85">
      <c r="B33" s="80" t="n"/>
      <c r="C33" s="81" t="n"/>
      <c r="D33" s="82" t="n"/>
    </row>
    <row r="34">
      <c r="B34" s="80" t="n"/>
      <c r="C34" s="81" t="n"/>
      <c r="D34" s="82" t="n"/>
    </row>
    <row r="35">
      <c r="B35" s="80" t="n"/>
      <c r="C35" s="81" t="n"/>
      <c r="D35" s="82" t="n"/>
    </row>
    <row r="36">
      <c r="B36" s="80" t="n"/>
      <c r="C36" s="81" t="n"/>
      <c r="D36" s="82" t="n"/>
    </row>
    <row r="37">
      <c r="B37" s="80" t="n"/>
      <c r="C37" s="81" t="n"/>
      <c r="D37" s="82" t="n"/>
    </row>
    <row r="38">
      <c r="B38" s="80" t="n"/>
      <c r="C38" s="81" t="n"/>
      <c r="D38" s="82" t="n"/>
    </row>
    <row r="39">
      <c r="B39" s="80" t="n"/>
      <c r="C39" s="81" t="n"/>
      <c r="D39" s="82" t="n"/>
    </row>
    <row r="40">
      <c r="B40" s="80" t="n"/>
      <c r="C40" s="81" t="n"/>
      <c r="D40" s="82" t="n"/>
    </row>
    <row r="41">
      <c r="B41" s="80" t="n"/>
      <c r="C41" s="81" t="n"/>
      <c r="D41" s="82" t="n"/>
    </row>
    <row r="42">
      <c r="B42" s="80" t="n"/>
      <c r="C42" s="81" t="n"/>
      <c r="D42" s="82" t="n"/>
    </row>
    <row r="43">
      <c r="B43" s="80" t="n"/>
      <c r="C43" s="81" t="n"/>
      <c r="D43" s="82" t="n"/>
    </row>
    <row r="44">
      <c r="B44" s="80" t="n"/>
      <c r="C44" s="81" t="n"/>
      <c r="D44" s="82" t="n"/>
    </row>
    <row r="45">
      <c r="B45" s="80" t="n"/>
      <c r="C45" s="81" t="n"/>
      <c r="D45" s="82" t="n"/>
    </row>
    <row r="46">
      <c r="B46" s="80" t="n"/>
      <c r="C46" s="81" t="n"/>
      <c r="D46" s="82" t="n"/>
    </row>
    <row r="47">
      <c r="B47" s="80" t="n"/>
      <c r="C47" s="81" t="n"/>
      <c r="D47" s="82" t="n"/>
    </row>
    <row r="48">
      <c r="B48" s="80" t="n"/>
      <c r="C48" s="81" t="n"/>
      <c r="D48" s="82" t="n"/>
    </row>
  </sheetData>
  <mergeCells count="1">
    <mergeCell ref="C5:D5"/>
  </mergeCell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C38"/>
  <sheetViews>
    <sheetView showGridLines="1" workbookViewId="0">
      <selection activeCell="C13" sqref="C13"/>
    </sheetView>
  </sheetViews>
  <sheetFormatPr baseColWidth="8" defaultRowHeight="14.4"/>
  <cols>
    <col width="34.21875" bestFit="1" customWidth="1" style="85" min="2" max="2"/>
    <col width="47" customWidth="1" style="85" min="3" max="3"/>
  </cols>
  <sheetData>
    <row r="1">
      <c r="A1" s="24" t="inlineStr">
        <is>
          <t>S. No.</t>
        </is>
      </c>
      <c r="B1" s="25" t="inlineStr">
        <is>
          <t>Analytics</t>
        </is>
      </c>
      <c r="C1" s="25" t="inlineStr">
        <is>
          <t>Results Noted</t>
        </is>
      </c>
    </row>
    <row r="2" ht="31.2" customHeight="1" s="85">
      <c r="A2" s="84" t="n">
        <v>1</v>
      </c>
      <c r="B2" s="83" t="inlineStr">
        <is>
          <t>Payroll processed for an employee though joining date is after the cut off date</t>
        </is>
      </c>
      <c r="C2" s="83" t="inlineStr">
        <is>
          <t>Compared payroll disbursement records against onboarding files to flag instances where salaries were processed for employees prior to their official date of joining.</t>
        </is>
      </c>
    </row>
    <row r="3" ht="31.2" customHeight="1" s="85">
      <c r="A3" s="84" t="n">
        <v>2</v>
      </c>
      <c r="B3" s="83" t="inlineStr">
        <is>
          <t>No TDS amount though it is likely to be applicable based on current salary structure</t>
        </is>
      </c>
      <c r="C3" s="83" t="inlineStr">
        <is>
          <t>Evaluated projected annual earnings against statutory income tax slabs to identify employees whose taxable salaries are not subjected to monthly TDS deductions.</t>
        </is>
      </c>
    </row>
    <row r="4">
      <c r="A4" s="114" t="n">
        <v>3</v>
      </c>
      <c r="B4" s="115" t="inlineStr">
        <is>
          <t>Employees having no employee code</t>
        </is>
      </c>
      <c r="C4" s="115" t="inlineStr">
        <is>
          <t>Extracted active employee listings and payroll disbursements where the mandatory Employee Code field is blank, presenting high internal control vulnerabilities.</t>
        </is>
      </c>
    </row>
    <row r="5">
      <c r="A5" s="114" t="n">
        <v>4</v>
      </c>
      <c r="B5" s="115" t="inlineStr">
        <is>
          <t>Bank Account numbers are repetitive</t>
        </is>
      </c>
      <c r="C5" s="115" t="inlineStr">
        <is>
          <t>Analyzed payroll bank details to identify matching bank account numbers shared across different employee profiles, representing a primary indicator of ghost employee fraud.</t>
        </is>
      </c>
    </row>
    <row r="6">
      <c r="A6" s="114" t="n">
        <v>5</v>
      </c>
      <c r="B6" s="115" t="inlineStr">
        <is>
          <t>Employee IDs whose Employee department is blank</t>
        </is>
      </c>
      <c r="C6" s="115" t="inlineStr">
        <is>
          <t>Identified active employee profiles lacking cost center or department attributes in the HR master, hindering payroll cost allocation.</t>
        </is>
      </c>
    </row>
    <row r="7">
      <c r="A7" s="114" t="n">
        <v>6</v>
      </c>
      <c r="B7" s="115" t="inlineStr">
        <is>
          <t>Employee IDs where Employee designation is blank</t>
        </is>
      </c>
      <c r="C7" s="115" t="inlineStr">
        <is>
          <t>Scanned active employee databases to flag missing designation details, compromising grading structure controls.</t>
        </is>
      </c>
    </row>
    <row r="8">
      <c r="A8" s="114" t="n">
        <v>7</v>
      </c>
      <c r="B8" s="115" t="inlineStr">
        <is>
          <t>Employees with duplicate employee IDs</t>
        </is>
      </c>
      <c r="C8" s="115" t="inlineStr">
        <is>
          <t>Performed deduplication audits on the payroll master to identify duplicate active records under a single employee ID.</t>
        </is>
      </c>
    </row>
    <row r="9">
      <c r="A9" s="114" t="n">
        <v>8</v>
      </c>
      <c r="B9" s="115" t="inlineStr">
        <is>
          <t>Instances where Gross Pay less Total deductions is not equal to net pay</t>
        </is>
      </c>
      <c r="C9" s="115" t="inlineStr">
        <is>
          <t>Recalculated individual net pays by subtracting recorded deductions from gross pay and matched results with reported net pay to isolate accounting calculation errors.</t>
        </is>
      </c>
    </row>
    <row r="10">
      <c r="A10" s="114" t="n">
        <v>9</v>
      </c>
      <c r="B10" s="115" t="inlineStr">
        <is>
          <t>Employee IDs where total days in a month less than LOP is not equal to number of days for which salary is paid for</t>
        </is>
      </c>
      <c r="C10" s="115" t="inlineStr">
        <is>
          <t>Recalculated paid days using the formula (Calendar Days - Loss of Pay Days) and cross-checked against actual paid days to flag paid day inflation or leakages.</t>
        </is>
      </c>
    </row>
    <row r="11">
      <c r="A11" s="114" t="n">
        <v>10</v>
      </c>
      <c r="B11" s="115" t="inlineStr">
        <is>
          <t>Employee IDs where PF as % of Basic or on Rs. 15,000 is not equal to 12%</t>
        </is>
      </c>
      <c r="C11" s="115" t="inlineStr">
        <is>
          <t>Recalculated Provident Fund contributions based on 12% of basic salary (or capped at the statutory INR 15,000 cap) and identified variances in actual deductions.</t>
        </is>
      </c>
    </row>
    <row r="12">
      <c r="A12" s="114" t="n">
        <v>11</v>
      </c>
      <c r="B12" s="115" t="inlineStr">
        <is>
          <t>Employee IDs where salary paid is for a period different from the total tenure of that employee during the year</t>
        </is>
      </c>
      <c r="C12" s="115" t="inlineStr">
        <is>
          <t>Compared the total months/days of salary processed against the actual active tenure of employees (from date of join/exit) to flag unauthorized compensation.</t>
        </is>
      </c>
    </row>
    <row r="13">
      <c r="A13" s="114" t="n">
        <v>12</v>
      </c>
      <c r="B13" s="115" t="inlineStr">
        <is>
          <t>Difference between months he has been for and months he should have been for</t>
        </is>
      </c>
      <c r="C13" s="115" t="inlineStr">
        <is>
          <t>Computed employee service duration based on joining/exit dates and compared it to cumulative months of salary disbursed during the fiscal year to isolate discrepancies.</t>
        </is>
      </c>
    </row>
    <row r="14">
      <c r="A14" s="114" t="n">
        <v>13</v>
      </c>
      <c r="B14" s="115" t="inlineStr">
        <is>
          <t>Employee IDs where PAN and/ or AADHAR Structure is not accurate (First 5 digit Alphabet (4th Digit-"P"), Next 4 digit Numbers and Last digit Alphabet) Total-10</t>
        </is>
      </c>
      <c r="C14" s="115" t="inlineStr">
        <is>
          <t>Validated employee PAN and Aadhaar records against standard statutory structural formats to detect invalid, placeholder, or structurally flawed identification documents.</t>
        </is>
      </c>
    </row>
    <row r="15">
      <c r="A15" s="114" t="n">
        <v>14</v>
      </c>
      <c r="B15" s="115" t="inlineStr">
        <is>
          <t>Employee IDs having same PAN</t>
        </is>
      </c>
      <c r="C15" s="115" t="inlineStr">
        <is>
          <t>Identified employee master records where the same PAN number is associated with more than one employee ID, signaling potential identity sharing or duplicate payroll records.</t>
        </is>
      </c>
    </row>
    <row r="16">
      <c r="A16" s="114" t="n">
        <v>15</v>
      </c>
      <c r="B16" s="115" t="inlineStr">
        <is>
          <t>Employee IDs where net pay is negative</t>
        </is>
      </c>
      <c r="C16" s="115" t="inlineStr">
        <is>
          <t>Filtered monthly payroll dumps to isolate employees with negative net pay balances, indicating excess deductions, recovery errors, or incorrect salary reversals.</t>
        </is>
      </c>
    </row>
    <row r="17">
      <c r="A17" s="114" t="n">
        <v>16</v>
      </c>
      <c r="B17" s="115" t="inlineStr">
        <is>
          <t>Employee IDs not having bank account numbers</t>
        </is>
      </c>
      <c r="C17" s="115" t="inlineStr">
        <is>
          <t>Scanned active payroll master databases to isolate records lacking payment bank account configurations, exposing transactions to untrackable cash or manual payment risks.</t>
        </is>
      </c>
    </row>
    <row r="18">
      <c r="A18" s="114" t="n">
        <v>17</v>
      </c>
      <c r="B18" s="115" t="inlineStr">
        <is>
          <t>Employee IDs with more than one designation in a year</t>
        </is>
      </c>
      <c r="C18" s="115" t="inlineStr">
        <is>
          <t>Tracked mid-year promotional and classification records to ensure employee profiles updating multiple designations are backed by authorized promotional logs.</t>
        </is>
      </c>
    </row>
    <row r="19">
      <c r="A19" s="80" t="n"/>
      <c r="B19" s="81" t="n"/>
      <c r="C19" s="81" t="n"/>
    </row>
    <row r="20">
      <c r="A20" s="80" t="n"/>
      <c r="B20" s="81" t="n"/>
      <c r="C20" s="81" t="n"/>
    </row>
    <row r="21">
      <c r="A21" s="80" t="n"/>
      <c r="B21" s="81" t="n"/>
      <c r="C21" s="81" t="n"/>
    </row>
    <row r="22">
      <c r="A22" s="80" t="n"/>
      <c r="B22" s="81" t="n"/>
      <c r="C22" s="81" t="n"/>
    </row>
    <row r="23">
      <c r="A23" s="80" t="n"/>
      <c r="B23" s="81" t="n"/>
      <c r="C23" s="81" t="n"/>
    </row>
    <row r="24">
      <c r="A24" s="80" t="n"/>
      <c r="B24" s="81" t="n"/>
      <c r="C24" s="81" t="n"/>
    </row>
    <row r="25">
      <c r="A25" s="80" t="n"/>
      <c r="B25" s="81" t="n"/>
      <c r="C25" s="81" t="n"/>
    </row>
    <row r="26">
      <c r="A26" s="80" t="n"/>
      <c r="B26" s="81" t="n"/>
      <c r="C26" s="81" t="n"/>
    </row>
    <row r="27">
      <c r="A27" s="80" t="n"/>
      <c r="B27" s="81" t="n"/>
      <c r="C27" s="81" t="n"/>
    </row>
    <row r="28">
      <c r="A28" s="80" t="n"/>
      <c r="B28" s="81" t="n"/>
      <c r="C28" s="81" t="n"/>
    </row>
    <row r="29">
      <c r="A29" s="80" t="n"/>
      <c r="B29" s="81" t="n"/>
      <c r="C29" s="81" t="n"/>
    </row>
    <row r="30">
      <c r="A30" s="80" t="n"/>
      <c r="B30" s="81" t="n"/>
      <c r="C30" s="81" t="n"/>
    </row>
    <row r="31">
      <c r="A31" s="80" t="n"/>
      <c r="B31" s="81" t="n"/>
      <c r="C31" s="81" t="n"/>
    </row>
    <row r="32">
      <c r="A32" s="80" t="n"/>
      <c r="B32" s="81" t="n"/>
      <c r="C32" s="81" t="n"/>
    </row>
    <row r="33">
      <c r="A33" s="80" t="n"/>
      <c r="B33" s="81" t="n"/>
      <c r="C33" s="81" t="n"/>
    </row>
    <row r="34">
      <c r="A34" s="80" t="n"/>
      <c r="B34" s="81" t="n"/>
      <c r="C34" s="81" t="n"/>
    </row>
    <row r="35">
      <c r="A35" s="80" t="n"/>
      <c r="B35" s="81" t="n"/>
      <c r="C35" s="81" t="n"/>
    </row>
    <row r="36">
      <c r="A36" s="80" t="n"/>
      <c r="B36" s="81" t="n"/>
      <c r="C36" s="81" t="n"/>
    </row>
    <row r="37">
      <c r="A37" s="80" t="n"/>
      <c r="B37" s="81" t="n"/>
      <c r="C37" s="81" t="n"/>
    </row>
    <row r="38">
      <c r="A38" s="80" t="n"/>
      <c r="B38" s="81" t="n"/>
      <c r="C38" s="81" t="n"/>
    </row>
  </sheetData>
  <pageMargins left="0.7" right="0.7" top="0.75" bottom="0.75" header="0.3" footer="0.3"/>
  <pageSetup orientation="portrait" paperSize="9"/>
</worksheet>
</file>

<file path=xl/worksheets/sheet4.xml><?xml version="1.0" encoding="utf-8"?>
<worksheet xmlns="http://schemas.openxmlformats.org/spreadsheetml/2006/main">
  <sheetPr codeName="Sheet16" filterMode="1">
    <tabColor theme="5"/>
    <outlinePr summaryBelow="1" summaryRight="1"/>
    <pageSetUpPr fitToPage="1"/>
  </sheetPr>
  <dimension ref="A1:J52"/>
  <sheetViews>
    <sheetView showGridLines="1" topLeftCell="E1" zoomScale="90" zoomScaleNormal="90" workbookViewId="0">
      <pane ySplit="1" topLeftCell="A42" activePane="bottomLeft" state="frozen"/>
      <selection pane="bottomLeft" activeCell="G86" sqref="G86"/>
    </sheetView>
  </sheetViews>
  <sheetFormatPr baseColWidth="8" defaultColWidth="9" defaultRowHeight="14.4"/>
  <cols>
    <col width="9" customWidth="1" style="7" min="1" max="1"/>
    <col width="14.44140625" customWidth="1" style="7" min="2" max="2"/>
    <col width="18.77734375" customWidth="1" style="1" min="3" max="3"/>
    <col width="62.44140625" customWidth="1" style="4" min="4" max="4"/>
    <col width="67.77734375" customWidth="1" style="1" min="5" max="5"/>
    <col width="47.5546875" customWidth="1" style="1" min="6" max="7"/>
    <col width="62" customWidth="1" style="1" min="8" max="8"/>
    <col width="29.21875" customWidth="1" style="1" min="9" max="9"/>
    <col width="9" customWidth="1" style="1" min="10" max="16384"/>
  </cols>
  <sheetData>
    <row r="1">
      <c r="A1" s="5" t="inlineStr">
        <is>
          <t>#</t>
        </is>
      </c>
      <c r="B1" s="9" t="inlineStr">
        <is>
          <t>PKG NO</t>
        </is>
      </c>
      <c r="C1" s="9" t="inlineStr">
        <is>
          <t>PKG Name</t>
        </is>
      </c>
      <c r="D1" s="11" t="inlineStr">
        <is>
          <t>Contents</t>
        </is>
      </c>
      <c r="E1" s="11" t="inlineStr">
        <is>
          <t>Scripts</t>
        </is>
      </c>
      <c r="F1" s="11" t="inlineStr">
        <is>
          <t>Output</t>
        </is>
      </c>
      <c r="G1" s="11" t="inlineStr">
        <is>
          <t>Output item</t>
        </is>
      </c>
      <c r="H1" s="11" t="inlineStr">
        <is>
          <t>Results</t>
        </is>
      </c>
      <c r="I1" s="11" t="inlineStr">
        <is>
          <t>Visualizing data</t>
        </is>
      </c>
      <c r="J1" s="14" t="inlineStr">
        <is>
          <t>updated date:2017/2/20</t>
        </is>
      </c>
    </row>
    <row r="2" hidden="1" ht="165.75" customHeight="1" s="85">
      <c r="A2" s="13" t="inlineStr">
        <is>
          <t>01</t>
        </is>
      </c>
      <c r="B2" s="6">
        <f>"pkg"&amp;A2</f>
        <v/>
      </c>
      <c r="C2" s="2" t="inlineStr">
        <is>
          <t>在庫分析
(滞留在庫分析)</t>
        </is>
      </c>
      <c r="D2" s="3" t="inlineStr">
        <is>
          <t xml:space="preserve">在庫分析(滞留在庫分析)
以下の目的に役立てるための分析結果ビジュアルをAudit Analytics分析パッケージの実施により監査チームに提供する。
・棚卸資産の滞留状況を網羅的に把握し、滞留リスクの高い商品群（異常点）を把握する
・滞留在庫に対する会社が定めた評価基準の妥当性に関するバックテスト　等
</t>
        </is>
      </c>
      <c r="E2" s="10" t="inlineStr">
        <is>
          <t>ExecStockAnalysis.sql</t>
        </is>
      </c>
      <c r="F2" s="3" t="inlineStr">
        <is>
          <t>WRK_STD_商品マスタ
WRK_STD_販売実績
WRK_STD_期末在庫
WRK_STD_属性
WRK_STD_任意指標
REP_在庫分析
REP_在庫データなし</t>
        </is>
      </c>
      <c r="G2" s="3" t="inlineStr">
        <is>
          <t>(WRK_STD_販売実績)
売上金額
売上数量
(REP_在庫分析)
在庫数量
在庫金額</t>
        </is>
      </c>
      <c r="H2" s="3" t="inlineStr">
        <is>
          <t>・WRK_STD_販売実績と、それに対しマッピングしたデータの売上数量、売上金額の合計値が一致していることを確認した。
・REP_在庫分析と、WRK_STD_期末在庫にマッピングしたデータの在庫数量、在庫金額の合計値が一致していることを確認した。
・REP_在庫データなしにレコードが出力されていないことを確認した。</t>
        </is>
      </c>
      <c r="I2" s="3" t="inlineStr">
        <is>
          <t>REP_在庫分析</t>
        </is>
      </c>
    </row>
    <row r="3" hidden="1" ht="158.25" customHeight="1" s="85">
      <c r="A3" s="6" t="inlineStr">
        <is>
          <t>02</t>
        </is>
      </c>
      <c r="B3" s="6">
        <f>"pkg"&amp;A3</f>
        <v/>
      </c>
      <c r="C3" s="2" t="inlineStr">
        <is>
          <t>得意先分析
(販売取引分析)</t>
        </is>
      </c>
      <c r="D3" s="3" t="inlineStr">
        <is>
          <t>得意先分析(販売取引分析)
以下の目的に役立てるための分析結果ビジュアルをAudit Analytics分析パッケージの実施により監査チームに提供する。
・商品別・取引先別の販売単価・粗利額・粗利率等を網羅的に把握し、通常とは異なる取引が行われている販売先を把握する
・関連当事者への取引が、他の取引先と同一の条件で実施されているかを確認する　等</t>
        </is>
      </c>
      <c r="E3" s="3" t="inlineStr">
        <is>
          <t>Scr_1_Create_WRK_STD_商品マスタ.sql
Scr_2_Create_WRK_STD_得意先マスタ.sql
Scr_3_Create_WRK_STD_販売実績.sql
Scr_4_Create_REP_得意先分析.sql</t>
        </is>
      </c>
      <c r="F3" s="3" t="inlineStr">
        <is>
          <t>WRK_STD_商品マスタ
WRK_STD_得意先マスタ
WRK_STD_販売実績
REP_得意先分析
WNG_商品マスタなし
WNG_得意先マスタなし
ERR_STD_商品マスタ
ERR_STD_得意先マスタ</t>
        </is>
      </c>
      <c r="G3" s="3" t="inlineStr">
        <is>
          <t>(REP_得意先分析)
売上数量
売上金額
売上原価</t>
        </is>
      </c>
      <c r="H3" s="3" t="inlineStr">
        <is>
          <t>・REP_得意先分析と、WRK_STD_販売実績にマッピングしたデータの売上金額、売上数量、売上原価の合計値が一致していることを確認した。
・下記テーブルにレコードが出力されていないことを確認した。
　・WNG_商品マスタなし
　・WNG_得意先マスタなし
　・ERR_STD_商品マスタ
　・ERR_STD_得意先マスタ</t>
        </is>
      </c>
      <c r="I3" s="3" t="inlineStr">
        <is>
          <t>REP_得意先分析</t>
        </is>
      </c>
    </row>
    <row r="4" hidden="1" ht="75" customHeight="1" s="85">
      <c r="A4" s="6" t="inlineStr">
        <is>
          <t>03</t>
        </is>
      </c>
      <c r="B4" s="6">
        <f>"pkg"&amp;A4</f>
        <v/>
      </c>
      <c r="C4" s="2" t="inlineStr">
        <is>
          <t>店舗減損分析①
(営業費用分析)</t>
        </is>
      </c>
      <c r="D4" s="3" t="inlineStr">
        <is>
          <t>店舗減損分析①(営業費用分析)
以下の目的に役立てるための分析結果ビジュアルをAudit Analytics分析パッケージの実施により監査チームに提供する。
・全体の営業利益トレンドと、地域ごとの賃料等費用を踏まえた利益水準を同時に注目し、将来減損損失の計上が必要となるリスクが高い店舗を把握する　等</t>
        </is>
      </c>
      <c r="E4" s="10" t="inlineStr">
        <is>
          <t>ExecStoreImpairAnalysis.sql</t>
        </is>
      </c>
      <c r="F4" s="3" t="inlineStr">
        <is>
          <t>WRK_STD_店舗ごと損益データ
WRK_STD_店舗ごと面積データ
WRK_STD_店舗ごと属性データ
REP_店舗減損分析
REP_面積データなし
REP_属性データなし</t>
        </is>
      </c>
      <c r="G4" s="3" t="n"/>
      <c r="H4" s="3" t="n"/>
      <c r="I4" s="3" t="inlineStr">
        <is>
          <t>REP_店舗減損分析</t>
        </is>
      </c>
    </row>
    <row r="5" hidden="1" ht="69" customHeight="1" s="85">
      <c r="A5" s="6" t="inlineStr">
        <is>
          <t>03</t>
        </is>
      </c>
      <c r="B5" s="6">
        <f>"pkg"&amp;A5</f>
        <v/>
      </c>
      <c r="C5" s="2" t="inlineStr">
        <is>
          <t>店舗減損分析②
(時系列分析)</t>
        </is>
      </c>
      <c r="D5" s="3" t="inlineStr">
        <is>
          <t>店舗減損分析②(時系列分析)
以下の目的に役立てるための分析結果ビジュアルをAudit Analytics分析パッケージの実施により監査チームに提供する。
・全体の営業利益トレンドと、過去の複数年度の利益推移を同時に注目し、将来減損損失の計上が必要となるリスクが高い店舗を把握する　等</t>
        </is>
      </c>
      <c r="E5" s="10" t="inlineStr">
        <is>
          <t>ExecStoreImpairAnalysis.sql</t>
        </is>
      </c>
      <c r="F5" s="3" t="inlineStr">
        <is>
          <t>WRK_STD_店舗ごと損益データ
WRK_STD_店舗ごと面積データ
WRK_STD_店舗ごと属性データ
REP_店舗減損分析
REP_面積データなし
REP_属性データなし</t>
        </is>
      </c>
      <c r="G5" s="3" t="n"/>
      <c r="H5" s="3" t="n"/>
      <c r="I5" s="3" t="inlineStr">
        <is>
          <t>REP_店舗減損分析</t>
        </is>
      </c>
    </row>
    <row r="6" hidden="1" ht="100.8" customHeight="1" s="85">
      <c r="A6" s="6" t="inlineStr">
        <is>
          <t>04</t>
        </is>
      </c>
      <c r="B6" s="6">
        <f>"pkg"&amp;A6</f>
        <v/>
      </c>
      <c r="C6" s="2" t="inlineStr">
        <is>
          <t>店舗減損分析③
(時系列分析)</t>
        </is>
      </c>
      <c r="D6" s="3" t="inlineStr">
        <is>
          <t>店舗減損分析③
(時系列分析)
以下の目的に役立てるための分析結果ビジュアルをAudit Analytics分析パッケージの実施により監査チームに提供する。
・店舗の営業開始からの経過年数に利益獲得トレンドを加味することで将来減損損失の計上が必要となるリスクが高い店舗を識別する　等</t>
        </is>
      </c>
      <c r="E6" s="10" t="inlineStr">
        <is>
          <t>ExecStoreImpairAnalysis.sql</t>
        </is>
      </c>
      <c r="F6" s="3" t="inlineStr">
        <is>
          <t>WRK_STD_店舗マスタ
REP_無効開業日データ
WRK_STD_店舗別損益計算書データ
WRK_STD_店舗別属性データ
REP_店舗減損分析
REP_店舗データなし
REP_未開業損益データ</t>
        </is>
      </c>
      <c r="G6" s="3" t="n"/>
      <c r="H6" s="3" t="n"/>
      <c r="I6" s="3" t="inlineStr">
        <is>
          <t>REP_店舗減損分析</t>
        </is>
      </c>
    </row>
    <row r="7" hidden="1" ht="244.8" customHeight="1" s="85">
      <c r="A7" s="6" t="inlineStr">
        <is>
          <t>05</t>
        </is>
      </c>
      <c r="B7" s="6">
        <f>"pkg"&amp;A7</f>
        <v/>
      </c>
      <c r="C7" s="2" t="inlineStr">
        <is>
          <t>店舗減損分析④
(投資回収率分析)</t>
        </is>
      </c>
      <c r="D7" s="3" t="inlineStr">
        <is>
          <t>店舗減損分析④
(投資回収率分析)
以下の目的に役立てるための分析結果ビジュアルをAudit Analytics分析パッケージの実施により監査チームに提供する。
・店舗の営業開始からの経過年数と投資回収率の関係に固定資産の残存簿価を加味することで将来減損損失の計上が必要となるリスクが高い店舗を識別する等</t>
        </is>
      </c>
      <c r="E7" s="3" t="inlineStr">
        <is>
          <t>Exec_Scr_01_Create_WRK_01_STORE_MASTER.sql
Exec_Scr_02_Create_WRK_02_IMPAIRED_STORE_MASTER.sql
Exec_Scr_03_Create_WRK_03_CF_DATA.sql
Exec_Scr_04_Create_WRK_04_INVESTMENT.sql
Exec_Scr_05_Create_WRK_05_LAND_ASSETS.sql
Exec_Scr_06_Create_WRK_06_INVESTMENT_R.sql
Exec_Scr_07_Create_WRK_07_LAND_ASSETS_R.sql
Exec_Scr_08_Create_WRK_08_STORE_DATA.sql
Exec_Scr_09_Create_WRK_09_STORE_YM_MASTER.sql
Exec_Scr_10_Create_WRK_10_SUB_CF_DATA.sql
Exec_Scr_11_Create_WRK_11_SUB_INV_DATA.sql
Exec_Scr_12_Create_WRK_12_SUB_LAND_DATA.sql
Exec_Scr_13_Create_WRK_13_STD_BALANCE_DATA.sql
Exec_Scr_14_Create_REP_01_STORE_IMPAIRED_ANALYSIS.sql</t>
        </is>
      </c>
      <c r="F7" s="3" t="inlineStr">
        <is>
          <t>WRK_01_STORE_MASTER
WRK_02_IMPAIRED_STORE_MASTER
WRK_03_CF_DATA
WRK_04_INVESTMENT
WRK_05_LAND_ASSETS
WRK_06_INVESTMENT_R
WRK_07_LAND_ASSETS_R
WRK_08_STORE_DATA
WRK_09_STORE_YM_MASTER
WRK_10_SUB_CF_DATA
WRK_11_SUB_INV_DATA
WRK_12_SUB_LAND_DATA
WRK_13_STD_BALANCE_DATA
REP_01_STORE_IMPAIRED_ANALYSIS
ERR_01_DUP_STORE_DATA
ERR_02_NO_STORE_SUB_DATA
ERR_03_0_DIVIDE_DATA</t>
        </is>
      </c>
      <c r="G7" s="3" t="n"/>
      <c r="H7" s="3" t="n"/>
      <c r="I7" s="3" t="inlineStr">
        <is>
          <t>REP_01_STORE_IMPAIRED_ANALYSIS</t>
        </is>
      </c>
    </row>
    <row r="8" hidden="1" ht="187.2" customHeight="1" s="85">
      <c r="A8" s="6" t="inlineStr">
        <is>
          <t>06</t>
        </is>
      </c>
      <c r="B8" s="6">
        <f>"pkg"&amp;A8</f>
        <v/>
      </c>
      <c r="C8" s="2" t="inlineStr">
        <is>
          <t>担当者別販売取引分析</t>
        </is>
      </c>
      <c r="D8" s="3" t="inlineStr">
        <is>
          <t>担当者別販売取引分析
以下の目的に役立てるための分析結果ビジュアルをAudit Analytics分析パッケージの実施により監査チームに提供する。
・複数の販売業績項目を部署・エリア・従業員ごとに比較することで、通例でない数値や取引を示す部署・エリア・担当者を識別する　等</t>
        </is>
      </c>
      <c r="E8" s="10" t="inlineStr">
        <is>
          <t>ExecStaffSalesAnalysis.sql</t>
        </is>
      </c>
      <c r="F8" s="3" t="inlineStr">
        <is>
          <t xml:space="preserve">WRK_STD_総売上データ
WRK_STD_純売上データ
WRK_STD_返品データ
WRK_STD_値引データ
WRK_STD_任意指標データ
WRK_STD_部署マスタ
WRK_STD_担当者マスタ
WRK_STD_得意先マスタ
WRK_STD_売上値引返品集計
REP_従業員別販売取引分析
WNG_01_不明担当者による売上
WNG_02_所属部署不明担当者による売上
</t>
        </is>
      </c>
      <c r="G8" s="3" t="inlineStr">
        <is>
          <t xml:space="preserve">
(REP_従業員別販売取引分析)
総売上金額
粗利額_総売データ
純売上金額
粗利額_純売データ
返品額
値引額
任意指標</t>
        </is>
      </c>
      <c r="H8" s="3" t="inlineStr">
        <is>
          <t>・REP_従業員別販売取引分析の各数値項目が、それぞれ下記テーブルにマッピングしたデータのそれと合計値が一致していることを確認した。
　・WRK_STD_総売上データ
　・WRK_STD_純売上データ
　・WRK_STD_返品データ
　・WRK_STD_値引データ
　・WRK_STD_任意指標データ
・下記テーブルにレコードが出力されていないことを確認した。
　・WNG_01_不明担当者による売上
　・WNG_02_所属部署不明担当者による売上</t>
        </is>
      </c>
      <c r="I8" s="3" t="inlineStr">
        <is>
          <t>REP_従業員別販売取引分析</t>
        </is>
      </c>
    </row>
    <row r="9" hidden="1" ht="172.8" customHeight="1" s="85">
      <c r="A9" s="6" t="inlineStr">
        <is>
          <t>07</t>
        </is>
      </c>
      <c r="B9" s="6">
        <f>"pkg"&amp;A9</f>
        <v/>
      </c>
      <c r="C9" s="2" t="inlineStr">
        <is>
          <t>棚卸差異調整分析</t>
        </is>
      </c>
      <c r="D9" s="3" t="inlineStr">
        <is>
          <t>棚卸差異調整分析
以下の目的に役立てるための分析結果ビジュアルをAudit Analytics分析パッケージの実施により監査チームに提供する。
・拠点別に棚卸差異調整額と差異調整に要した時間を組み合わせて比較することにより、通例でない、または、異常な差異調整を実施している可能性のある拠点を識別する　等</t>
        </is>
      </c>
      <c r="E9" s="10" t="inlineStr">
        <is>
          <t>ExecInventoryAdjustmentAnalysis.sql</t>
        </is>
      </c>
      <c r="F9" s="3" t="inlineStr">
        <is>
          <t xml:space="preserve">WRK_STD_在庫データ
WRK_STD_在庫訂正データ
WRK_STD_在庫ロスデータ
WRK_STD_売上データ
WRK_STD_店舗マスタ
WRK_STD_商品分類マスタ
WRK_STD_棚卸差異調整ベースデータ
REP_棚卸差異調整分析
REP_在庫データなし
REP_店舗マスタなし
REP_商品分類マスタなし
</t>
        </is>
      </c>
      <c r="G9" s="3" t="n"/>
      <c r="H9" s="3" t="n"/>
      <c r="I9" s="3" t="inlineStr">
        <is>
          <t>REP_棚卸差異調整分析</t>
        </is>
      </c>
    </row>
    <row r="10" hidden="1" ht="129.6" customHeight="1" s="85">
      <c r="A10" s="6" t="inlineStr">
        <is>
          <t>08</t>
        </is>
      </c>
      <c r="B10" s="6">
        <f>"pkg"&amp;A10</f>
        <v/>
      </c>
      <c r="C10" s="2" t="inlineStr">
        <is>
          <t>在庫・コスト採算
状況分析</t>
        </is>
      </c>
      <c r="D10" s="3" t="inlineStr">
        <is>
          <t>在庫・コスト採算状況分析
以下の目的に役立てるための分析結果ビジュアルをAudit Analytics分析パッケージの実施により監査チームに提供する。
・個別受注契約のコストの進捗状況とスケジュールの進捗状況を比較し、赤字となる可能性や進捗遅れのあるプロジェクト（通例でない取引やプロジェクト）を識別する　等</t>
        </is>
      </c>
      <c r="E10" s="3" t="inlineStr">
        <is>
          <t>Exec_Scr_1_Create_WRK_STD_01_ESTIMATE_COST_GROSS_01.sql
Exec_Scr_2_Create_WRK_STD_02_ACTUAL_COST_01.sql
Exec_Scr_3_Create_WRK_STD_03_WORK_IN_PROGRESS_BALANCE_01.sql
Exec_Scr_4_Create_WRK_STD_04_CONTRACT_TERM_01.sql
Exec_Scr_5_Create_REP_TABLES_01.sql</t>
        </is>
      </c>
      <c r="F10" s="3" t="inlineStr">
        <is>
          <t>WRK_STD_01_ESTIMATE_COST_GROSS
WRK_STD_02_ACTUAL_COST
WRK_STD_03_WORK_IN_PROGRESS_BALANCE
WRK_STD_04_CONTACT_TERM
WRK_STD_05_PROGRESS_BASE_DATA
REP_01_COST_PROCESS_ANALYTICS
REP_02_INCONSISTENCY_DATA</t>
        </is>
      </c>
      <c r="G10" s="3" t="inlineStr">
        <is>
          <t>ESTIMATE_COST_GROSS
ACTUAL_COST
WORK_IN_PROGRESS_BALANCE_PERIOD_END
NA
ESTIMATE_COST_GROSS
ACTUAL_COST
WORK_IN_PROGRESS_BALANCE_PERIOD_END
ESTIMATE_COST_GROSS
ESTIMATE_COST_GROSS</t>
        </is>
      </c>
      <c r="H10" s="3" t="n"/>
      <c r="I10" s="3" t="inlineStr">
        <is>
          <t>REP_01_COST_PROCESS_ANALYTICS</t>
        </is>
      </c>
    </row>
    <row r="11" hidden="1" ht="172.8" customHeight="1" s="85">
      <c r="A11" s="6" t="inlineStr">
        <is>
          <t>09</t>
        </is>
      </c>
      <c r="B11" s="6">
        <f>"pkg"&amp;A11</f>
        <v/>
      </c>
      <c r="C11" s="2" t="inlineStr">
        <is>
          <t>敷金分析</t>
        </is>
      </c>
      <c r="D11" s="3" t="inlineStr">
        <is>
          <t>敷金分析
以下の目的に役立てるための分析結果ビジュアルをAudit Analytics分析パッケージの実施により監査チームに提供する。
・通常の賃貸借契約と異なる特性を持つ敷金を計上している拠点を抽出および前年比較する　等</t>
        </is>
      </c>
      <c r="E11" s="3" t="inlineStr">
        <is>
          <t>Exec_01_Scr_Create_WRK_01_RENT.sql
Exec_02_Scr_Create_WRK_02_DEPOSIT.sql
Exec_03_Scr_Create_WRK_03_RENT_AREA.sql
Exec_04_Scr_Create_WRK_04_STORE.sql
Exec_05_Scr_Create_WRK_05_DEPOSIT_ALL.sql
Exec_06_Scr_Create_WRK_06_DEPOSIT_TOTAL.sql
Exec_07_Scr_Create_REP_01_DEPOSIT_TOTAL_ANALYSIS.sql</t>
        </is>
      </c>
      <c r="F11" s="3" t="inlineStr">
        <is>
          <t xml:space="preserve">WRK_01_RENT
WRK_02_DEPOSIT
WRK_03_RENT_AREA
WRK_04_STORE
WRK_05_DEPOSIT_ALL
WRK_06_DEPOSIT_TOTAL
WRK_99_ANALYSIS_EXCLUDED_RENT
WRK_99_ANALYSIS_EXCLUDED_DEPOSIT
WRK_99_ANALYSIS_EXCLUDED_RENT_AREA
WRK_99_ANALYSIS_EXCLUDED_STORE
REP_01_DEPOSIT_TOTAL_ANALYSIS
</t>
        </is>
      </c>
      <c r="G11" s="3" t="n"/>
      <c r="H11" s="3" t="n"/>
      <c r="I11" s="3" t="inlineStr">
        <is>
          <t>REP_01_DEPOSIT_TOTAL_ANALYSIS</t>
        </is>
      </c>
    </row>
    <row r="12" hidden="1" ht="160.5" customHeight="1" s="85">
      <c r="A12" s="6" t="n">
        <v>11</v>
      </c>
      <c r="B12" s="6">
        <f>"pkg"&amp;A12</f>
        <v/>
      </c>
      <c r="C12" s="2" t="inlineStr">
        <is>
          <t>粗利率の変動を用いた売上分析</t>
        </is>
      </c>
      <c r="D12" s="3" t="inlineStr">
        <is>
          <t>粗利率の変動を用いた売上分析
Audit Analytics分析パッケージの実施によって、以下の目的に役立てるための分析結果ビジュアルを監査チームに提供する。
・月次粗利率のばらつきの大きさを他の取引先と比較し、通常とは異なる売上取引が生じた可能性が高い取引先を識別する
・また、識別された取引先についての月次粗利率の推移の傾向把握による変動要因の特定　等</t>
        </is>
      </c>
      <c r="E12" s="3" t="inlineStr">
        <is>
          <t>Exec_Scr_1_Create_WRK_STD_UNIT_MASTER.sql
Exec_Scr_2_Create_WRK_STD_SALES_RECORD.sql
Exec_Scr_3_Create_REP_GROSS_MARGIN_RATIO_ANALYSIS.sql</t>
        </is>
      </c>
      <c r="F12" s="3" t="inlineStr">
        <is>
          <t>WRK_STD_UNIT_MASTER
WRK_STD_SALES_RECORD
REP_GROSS_MARGIN_RATIO_ANALYSIS</t>
        </is>
      </c>
      <c r="G12" s="3" t="inlineStr">
        <is>
          <t>(REP_GROSS_MARGIN_RATIO_ANALYSIS)
SalesAmount
SalesVolume
GrossMargin</t>
        </is>
      </c>
      <c r="H12" s="3" t="inlineStr">
        <is>
          <t>・REP_GROSS_MARGIN_RATIO_ANALYSISの各数値項目が、WRK_STD_SALES_RECORDにマッピングしたデータのそれと合計値が一致していることを確認した。</t>
        </is>
      </c>
      <c r="I12" s="3" t="inlineStr">
        <is>
          <t>REP_GROSS_MARGIN_RATIO_ANALYSIS</t>
        </is>
      </c>
    </row>
    <row r="13" hidden="1" ht="129.6" customHeight="1" s="85">
      <c r="A13" s="6" t="n">
        <v>12</v>
      </c>
      <c r="B13" s="6">
        <f>"pkg"&amp;A13</f>
        <v/>
      </c>
      <c r="C13" s="2" t="inlineStr">
        <is>
          <t>稼動データ利用による固定資産の実在性分析</t>
        </is>
      </c>
      <c r="D13" s="3" t="inlineStr">
        <is>
          <t>稼動データ利用による固定資産の実在性分析
Audit Analytics分析パッケージの実施によって、以下の目的に役立てるための分析結果ビジュアルを監査チームに提供する。
・固定資産台帳と稼動データの照合し、有形固定資産の実在性の網羅的に検討する
・照合結果の稼動開始時期別集計、ロケーション別集計し、全体的なトレンドの把握、および、実在性に疑義が生じている共通要因の有無等を把握する　等</t>
        </is>
      </c>
      <c r="E13" s="3" t="inlineStr">
        <is>
          <t>Exec_Src_01_Create_WRK_01_FIXED_ASSET_LEDGER.sql
Exec_Scr_02_Create_WRK_02_FIXED_ASSET_OPERATING_INFO.sql
Exec_Scr_03_Create_REP_01_FIXED_ASSET_REALITY_ANALYTICS.sql</t>
        </is>
      </c>
      <c r="F13" s="3" t="inlineStr">
        <is>
          <t>WRK_01_FIXED_ASSET_LEDGER
WRK_02_FIXED_ASSET_OPERATING_INFO
WRK_03_INCONSISTENCY_FIXED_ASSET_LEDGER
WRK_04_INCONSISTENCY_FIXED_ASSET_OPERATING_INFO
REP_01_FIXED_ASSET_REALITY_ANALYTICS</t>
        </is>
      </c>
      <c r="G13" s="3" t="n"/>
      <c r="H13" s="3" t="n"/>
      <c r="I13" s="3" t="inlineStr">
        <is>
          <t xml:space="preserve">REP_01_FIXED_ASSET_REALITY_ANALYTICS
</t>
        </is>
      </c>
    </row>
    <row r="14" hidden="1" ht="86.40000000000001" customHeight="1" s="85">
      <c r="A14" s="6" t="n">
        <v>13</v>
      </c>
      <c r="B14" s="6">
        <f>"pkg"&amp;A14</f>
        <v/>
      </c>
      <c r="C14" s="2" t="inlineStr">
        <is>
          <t>取引属性によるリスク識別</t>
        </is>
      </c>
      <c r="D14" s="3" t="inlineStr">
        <is>
          <t>取引属性によるリスク識別
Audit Analytics分析パッケージの実施によって、以下の目的に役立てるための分析結果ビジュアルを監査チームに提供する。
・取引データの属性別に分類し、大量の取引データの中から、改ざんなどの不正リスクの高い領域を特定する　等</t>
        </is>
      </c>
      <c r="E14" s="3" t="inlineStr">
        <is>
          <t>Exec_Scr_1_Create_WRK_STD_SALES_RECORD.sql
Exec_Scr_2_Create_WRK_STD_PURCHASES_RECORD.sql
Exec_Scr_3_Create_WRK_STD_ORGANIZATION.sql
Exec_Scr_5_Create_REP_ALL.sql</t>
        </is>
      </c>
      <c r="F14" s="3" t="inlineStr">
        <is>
          <t>WRK_STD_SALES_RECORD
WRK_STD_PURCHASES_RECORD
WRK_STD_ORGANIZATION
WRK_REP_ALL</t>
        </is>
      </c>
      <c r="G14" s="3" t="n"/>
      <c r="H14" s="3" t="n"/>
      <c r="I14" s="3" t="inlineStr">
        <is>
          <t>WRK_REP_ALL</t>
        </is>
      </c>
    </row>
    <row r="15" hidden="1" ht="158.4" customHeight="1" s="85">
      <c r="A15" s="6" t="n">
        <v>14</v>
      </c>
      <c r="B15" s="6">
        <f>"pkg"&amp;A15</f>
        <v/>
      </c>
      <c r="C15" s="2" t="inlineStr">
        <is>
          <t xml:space="preserve">監査チームの稼動実績の見える化 </t>
        </is>
      </c>
      <c r="D15" s="3" t="inlineStr">
        <is>
          <t>監査チームの稼動実績の見える化 
Audit Analytics分析パッケージの実施によって、以下の目的に役立てるための分析結果ビジュアルを監査チームに提供する。
・エンゲージメントごとの年間を通じた稼働状況詳細を視覚化することにより、TASKごとの業務負荷等の認識を一つにし、監査手続そのものの見直し等計画時に考慮すべき情報を把握する</t>
        </is>
      </c>
      <c r="E15" s="10" t="inlineStr">
        <is>
          <t>ExecOperationAnalysis.sql</t>
        </is>
      </c>
      <c r="F15" s="3" t="inlineStr">
        <is>
          <t>WRK_稼働実績_01
WRK_稼働実績_02
WRK_稼働実績_03
WRK_稼働実績_04
WRK_稼働実績_05
WRK_稼働実績_06
WRK_稼働実績_07
WRK_稼働実績_08
WRK_稼働実績_09
WRK_稼働実績_10
REP_稼動実績ALL</t>
        </is>
      </c>
      <c r="G15" s="3" t="n"/>
      <c r="H15" s="3" t="n"/>
      <c r="I15" s="3" t="inlineStr">
        <is>
          <t>REP_稼動実績ALL</t>
        </is>
      </c>
    </row>
    <row r="16" hidden="1" ht="129.6" customHeight="1" s="85">
      <c r="A16" s="6" t="n">
        <v>15</v>
      </c>
      <c r="B16" s="6">
        <f>"pkg"&amp;A16</f>
        <v/>
      </c>
      <c r="C16" s="2" t="inlineStr">
        <is>
          <t>子会社財務分析</t>
        </is>
      </c>
      <c r="D16" s="3" t="inlineStr">
        <is>
          <t>子会社財務分析
Audit Analytics分析パッケージの実施によって、以下の目的に役立てるための分析結果ビジュアルを監査チームに提供する。
・子会社を多角的に分析することにより、全体感を把握しつつリスクの高いセグメント・子会社を把握する　等</t>
        </is>
      </c>
      <c r="E16" s="3" t="inlineStr">
        <is>
          <t>Exec_01_Scr_01_Bulk_Insert_MST_01_ACCOUNT_TITLE.sql
Exec_02_Scr_02_Create_WRK_01_CONSOLIDATED_SIMPLE_SUM_TABLE.sql
Exec_03_Scr_03_Create_WRK_02_COMPANY_TABLE.sql
Exec_04_Scr_04_Create_WRK_03_HEADER_TABLE.sql
Exec_05_Scr_05_Create_WRK_04_KPI_ACCOUNT_AMT.sql
Exec_06_Scr_06_Create_REP_CONSOLIDATED_FINANCIAL_INDICES.sql</t>
        </is>
      </c>
      <c r="F16" s="3" t="inlineStr">
        <is>
          <t xml:space="preserve">MST_01_ACCOUNT_TITLE
WRK_01_CONSOLIDATED_SIMPLE_SUM_TABLE
WRK_02_COMPANY_TABLE
WRK_03_HEADER
WRK_04_KPI_ACCOUNT_AMT
REP_CONSOLIDATED_FINANCIAL_INDICES
REP_NO_COMPANY_DATA
REP_DENOMINATOR_ZERO_DATA
</t>
        </is>
      </c>
      <c r="G16" s="3" t="n"/>
      <c r="H16" s="3" t="n"/>
      <c r="I16" s="3" t="inlineStr">
        <is>
          <t>REP_CONSOLIDATED_FINANCIAL_INDICES</t>
        </is>
      </c>
    </row>
    <row r="17" hidden="1" ht="100.8" customHeight="1" s="85">
      <c r="A17" s="6" t="n">
        <v>16</v>
      </c>
      <c r="B17" s="6">
        <f>"pkg"&amp;A17</f>
        <v/>
      </c>
      <c r="C17" s="2" t="inlineStr">
        <is>
          <t>商品別粗利率・成長率分析</t>
        </is>
      </c>
      <c r="D17" s="3" t="inlineStr">
        <is>
          <t>商品別粗利率・成長率分析
以下の目的に役立てるための分析結果ビジュアルをAudit Analytics分析パッケージの実施により監査チームに提供する。
・部署別や商品別に販売取引の売上や粗利率を同時に前期と比較し、売上規模を踏まえた上で売上や粗利率が大きく変動している商品を網羅的に把握する　等</t>
        </is>
      </c>
      <c r="E17" s="3" t="inlineStr">
        <is>
          <t>Exec_Scr_1_Create_WRK_STD_SalesData.sql
Exec_Scr_2_Create_WRK_STD_Branch_Master.sql
Exec_Scr_3_Create_WRK_STD_Customer_Master.sql
Exec_Scr_4_Create_WRK_STD_Attribute_Master.sql
Exec_Scr_5_Create_WRK_STD_Item_Master.sql
Exec_Scr_6_Create_REP_SalesDataAnalysis.sql
Exec_Scr_7_Check_Master.sql</t>
        </is>
      </c>
      <c r="F17" s="3" t="inlineStr">
        <is>
          <t>WRK_STD_SalesData
WRK_STD_Branch_Master
WRK_STD_Customer_Master
WRK_STD_Attribute_Master
WRK_STD_Item_MASTER
REP_SalesDataANALYSIS
Check_Master</t>
        </is>
      </c>
      <c r="G17" s="3" t="inlineStr">
        <is>
          <t>(REP_SalesDataANALYSIS)
Sales
Profit</t>
        </is>
      </c>
      <c r="H17" s="3" t="inlineStr">
        <is>
          <t>・REP_SalesDataANALYSISの各数値項目が、WRK_STD_SalesDataにマッピングしたデータのそれと合計値が一致していることを確認した。
・下記テーブルにレコードが出力されていないことを確認した。
　・Check_Master</t>
        </is>
      </c>
      <c r="I17" s="3" t="inlineStr">
        <is>
          <t>REP_SalesDataANALYSIS</t>
        </is>
      </c>
    </row>
    <row r="18" hidden="1" ht="172.8" customHeight="1" s="85">
      <c r="A18" s="6" t="n">
        <v>17</v>
      </c>
      <c r="B18" s="6">
        <f>"pkg"&amp;A18</f>
        <v/>
      </c>
      <c r="C18" s="2" t="inlineStr">
        <is>
          <t>区分別・時系列売上分析</t>
        </is>
      </c>
      <c r="D18" s="3" t="inlineStr">
        <is>
          <t>区分別・時系列売上分析
以下の目的に役立てるための分析結果ビジュアルをAudit Analytics分析パッケージの実施により監査チームに提供する。
・取引区分ごとに期末日付近の売上推移を把握し、カットオフエラーの兆候を示す取引が多く行われている区分を識別する　等</t>
        </is>
      </c>
      <c r="E18" s="10" t="inlineStr">
        <is>
          <t>ExecD2DSalesAnalysisByCategory.sql</t>
        </is>
      </c>
      <c r="F18" s="3" t="inlineStr">
        <is>
          <t>WRK_STD_01_SALES_TRANSACTION
WRK_STD_02_CUSTOMER_MASTER
WRK_STD_03_SALESPERSON_MASTER
WRK_STD_04_PRODUCT_MASTER
WRK_STD_05_ATTRIBUTE_FILTER_MASTER
RPT_01_D2D_SALES_ANALYSIS_BY_CATEGORY
RPT_02_SALES_TO_CUSTOMER_NOT_IN_MASTER　※マスタ利用時のみ
RPT_03_SALES_BY_SALESPERSON_NOT_IN_MASTER　※マスタ利用時のみ
RPT_04_SALES_OF_PRODUCT_NOT_IN_MASTER　※マスタ利用時のみ</t>
        </is>
      </c>
      <c r="G18" s="3" t="inlineStr">
        <is>
          <t>(RPT_01_D2D_SALES_ANALYSIS_BY_CATEGORY)
売上金額</t>
        </is>
      </c>
      <c r="H18" s="3" t="inlineStr">
        <is>
          <t>・RPT_01_D2D_SALES_ANALYSIS_BY_CATEGORYの売上金額が、WRK_STD_01_SALES_TRANSACTIONにマッピングしたデータ（バッチ生成ファイルで設定した分析対象期間分）のそれと合計値が一致していることを確認した。
・下記テーブルにレコードが出力されていないことを確認した。
　・RPT_02_SALES_TO_CUSTOMER_NOT_IN_MASTER
　・RPT_03_SALES_BY_SALESPERSON_NOT_IN_MASTER
　・RPT_04_SALES_OF_PRODUCT_NOT_IN_MASTER</t>
        </is>
      </c>
      <c r="I18" s="3" t="inlineStr">
        <is>
          <t>RPT_01_D2D_SALES_ANALYSIS_BY_CATEGORY</t>
        </is>
      </c>
    </row>
    <row r="19" hidden="1" ht="114.75" customHeight="1" s="85">
      <c r="A19" s="6" t="n">
        <v>19</v>
      </c>
      <c r="B19" s="6">
        <f>"pkg"&amp;A19</f>
        <v/>
      </c>
      <c r="C19" s="2" t="inlineStr">
        <is>
          <t>融資契約分析</t>
        </is>
      </c>
      <c r="D19" s="3" t="inlineStr">
        <is>
          <t>融資契約分析
以下の目的に役立てるための分析結果ビジュアルをAudit Analytics分析パッケージの実施により監査チームに提供する。
・貸出金契約全体の傾向を探索的に把握し、銀行の貸出金ポートフォリオに対する理解の深化させる
・契約の利回りが格付や貸出期間、業種等の観点で傾向から外れている契約（異常契約の可能性がある契約）を把握する　等</t>
        </is>
      </c>
      <c r="E19" s="3" t="inlineStr">
        <is>
          <t>Exec_Scr_10_Bulk_Insert_WRK_BIZ_CATEGORY_MASTER.sql
Exec_Scr_11_Bulk_Insert_WRK_LOAN_TYPE_MASTER.sql
Exec_Scr_12_Bulk_Insert_WRK_LOAN_BALANCE_BAND_MASTER.sql
Exec_Scr_20_Create_WRK_ACCOUNT_RECORD.sql
Exec_Scr_21_Create_WRK_SELF_EVALUTION_RATING_RECORD.sql
Exec_Scr_22_Create_WRK_BIZ_CATEGORY_CHECK_LIST.sql
Exec_Scr_23_Create_WRK_TCIF_CHECK_LIST.sql
Exec_Scr_30_Create_REP_INTEREST_ON_LOANS_DISCOUNTS.sql</t>
        </is>
      </c>
      <c r="F19" s="3" t="inlineStr">
        <is>
          <t>10_WRK_BIZ_CATEGORY_MASTER
11_WRK_LOAN_TYPE_MASTER
12_WRK_LOAN_BALANCE_BAND_MASTER
20_WRK_ACCOUNT_RECORD
21_WRK_SELF_EVALUTION_RATING_RECORD
22_WRK_BIZ_CATEGORY_CHECK_LIST
23_WRK_TCIF_CHECK_LIST
30_REP_INTEREST_ON_LOANS_DISCOUNTS</t>
        </is>
      </c>
      <c r="G19" s="3" t="n"/>
      <c r="H19" s="3" t="n"/>
      <c r="I19" s="3" t="inlineStr">
        <is>
          <t>30_REP_INTEREST_ON_LOANS_DISCOUNTS</t>
        </is>
      </c>
    </row>
    <row r="20" hidden="1" ht="172.8" customHeight="1" s="85">
      <c r="A20" s="6" t="n">
        <v>20</v>
      </c>
      <c r="B20" s="6">
        <f>"pkg"&amp;A20</f>
        <v/>
      </c>
      <c r="C20" s="2" t="inlineStr">
        <is>
          <t>住宅ローン分析</t>
        </is>
      </c>
      <c r="D20" s="3" t="inlineStr">
        <is>
          <t>住宅ローン分析
以下の目的に役立てるための分析結果ビジュアルをAudit Analytics分析パッケージの実施により監査チームに提供する。
・住宅ローンの傾向の視覚化による理解の深化、通常の傾向と異なる取引の抽出および原因を探索する　等</t>
        </is>
      </c>
      <c r="E20" s="12" t="inlineStr">
        <is>
          <t>Templateフォルダにファイルなし</t>
        </is>
      </c>
      <c r="F20" s="3" t="inlineStr">
        <is>
          <t xml:space="preserve">MST_01_DEBTOR_TYPE
MST_02_CLAIMS_TYPE
MST_03_BIRTH_YEAR_CLASSFICATION
MST_04_YIELD_CLASSFICATION
MST_05_BRANCH
WRK_01_MORTGAGE_INFO
WRK_02_MORTGAGE_INFO_TARGET
WRK_03_MORTGAGE_INFO_ADD_CUSTOMER_TYPE
WRK_04_MORTGAGE_INFO_ANALYSIS
WRK_99_ANALYSIS_EXCLUDE_MORTGAGE_INFO
REP_01_MORTGAGE_INFO_ANALYSIS
</t>
        </is>
      </c>
      <c r="G20" s="3" t="n"/>
      <c r="H20" s="3" t="n"/>
      <c r="I20" s="3" t="inlineStr">
        <is>
          <t>REP_01_MORTGAGE_INFO_ANALYSIS</t>
        </is>
      </c>
    </row>
    <row r="21" hidden="1" ht="409.6" customHeight="1" s="85">
      <c r="A21" s="6" t="n">
        <v>24</v>
      </c>
      <c r="B21" s="6">
        <f>"pkg"&amp;A21</f>
        <v/>
      </c>
      <c r="C21" s="2" t="inlineStr">
        <is>
          <t>貸出金利息分析</t>
        </is>
      </c>
      <c r="D21" s="3" t="inlineStr">
        <is>
          <t>貸出金利息分析
以下の目的に役立てるための分析結果ビジュアルをAudit Analytics分析パッケージの実施により監査チームに提供する。
・データの簡易再計算を推定値として分析的実証手続を実施する。
・貸出金残高と現在利回りの関係を人格事毎、融資種別毎に可視化することで、許容金額との差異を追求する手立てとする　等</t>
        </is>
      </c>
      <c r="E21" s="3" t="inlineStr">
        <is>
          <t>Exec_Scr_01_Create_WRK_01_FINANCING_DATA_CURRENT_YEAR.sql
Exec_Scr_02_Create_WRK_02_FINANCING_DATA_PREVIOUS_YEAR.sql
Exec_Scr_03_Create_WRK_03_CUSTOMER_CY.sql
Exec_Scr_04_Create_WRK_04_CUSTOMER_PY.sql
Exec_Scr_05_Create_WRK_05_BRANCH.sql
Exec_Scr_06_Create_WRK_06_INDUSTRY.sql
Exec_Scr_07_Create_WRK_07_LOAN_TYPE.sql
Exec_Scr_08_Create_WRK_08_CUSTOMER_TYPE.sql
Exec_Scr_09_Create_WRK_09_FINANCING_TYPE.sql
Exec_Scr_10_Create_WRK_10_INTEREST_RATE_SD_CY.sql
Exec_Scr_11_Create_WRK_11_INTEREST_RATE_SD_PY.sql
Exec_Scr_12_Create_WRK_12_FINANCING_DATA_CY.sql
Exec_Scr_13_Create_WRK_13_FINANCING_DATA_PY.sql
Exec_Scr_14_Create_WRK_14_FINANCING_DATA_CY_REPLACED_RATE.sql
Exec_Scr_15_Create_WRK_15_FINANCING_DATA_PY_REPLACED_RATE.sql
Exec_Scr_16_Create_WRK_16_FINANCING_DATA_MERGE.sql
Exec_Scr_17_Create_REP_01_LOAN_INTEREST_ANALYSIS.sql</t>
        </is>
      </c>
      <c r="F21" s="3" t="inlineStr">
        <is>
          <t>WRK_01_FINANCING_DATA_CURRENT_YEAR
WRK_02_FINANCING_DATA_PREVIOUS_YEAR
WRK_03_CUSTOMER_CY
WRK_04_CUSTOMER_PY
WRK_05_BRANCH
WRK_06_INDUSTRY
WRK_07_LOAN_TYPE
WRK_08_CUSTOMER_TYPE
WRK_09_FINANCING_TYPE
WRK_10_INTEREST_RATE_SUB_DATA_CURRENT_YEAR
WRK_11_INTEREST_RATE_SUB_DATA_PREVIOUS_YEAR
WRK_12_FINANCING_DATA_CY
WRK_12_FINANCING_DATA_PY
WRK_16_FINANCING_DATA_CY_REPLACED_RATE
WRK_17_FINANCING_DATA_PY_REPLACED_RATE
WRK_18_FINANCING_DATA_MERGE
REP_01_LOAN_INTEREST_ANALYSIS
ERR_01_DUPLICATION_FINANCING_DATA_CURRENT_YEAR
ERR_02_DUPLICATION_FINANCING_DATA_PREVIOUS_YEAR
ERR_03_DUPLICATION_INTEREST_RATE_SUB_DATA_CURRENT_YEAR
ERR_04_DUPLICATION_INTEREST_RATE_SUB_DATA_PREVIOUS_YEAR
ERR_05_MISSING_CONTRACT_INTEREST_RATE_CURRENT_YEAR
ERR_06_MISSING_CONTRACT_INTEREST_RATE_PREVIOUS_YEAR</t>
        </is>
      </c>
      <c r="G21" s="3" t="inlineStr">
        <is>
          <t>(REP_01_LOAN_INTEREST_ANALYSIS)
LOAN_BALANCE</t>
        </is>
      </c>
      <c r="H21" s="3" t="inlineStr">
        <is>
          <t>・REP_01_LOAN_INTEREST_ANALYSISのLOAN_BALANCEと、WRK_01、WRK02にマッピングしたデータのそれと合計値が一致していることを確認した。
・REP_01_LOAN_INTEREST_ANALYSISのPREV_LOAN_BALANCEと、WRK02にマッピングしたデータのLOAN_BALANCEの合計値が一致していることを確認した。
・下記テーブルにレコードが出力されていないことを確認した。
　・ERR_01_DUPLICATION_FINANCING_DATA_CURRENT_YEAR
　・ERR_02_DUPLICATION_FINANCING_DATA_PREVIOUS_YEAR
　・ERR_03_DUPLICATION_INTEREST_RATE_SUB_DATA_CURRENT_YEAR
　・ERR_04_DUPLICATION_INTEREST_RATE_SUB_DATA_PREVIOUS_YEAR
　・ERR_05_MISSING_CONTRACT_INTEREST_RATE_CURRENT_YEAR
　・ERR_06_MISSING_CONTRACT_INTEREST_RATE_PREVIOUS_YEAR</t>
        </is>
      </c>
      <c r="I21" s="3" t="inlineStr">
        <is>
          <t>REP_01_LOAN_INTEREST_ANALYSIS</t>
        </is>
      </c>
    </row>
    <row r="22" hidden="1" ht="115.2" customHeight="1" s="85">
      <c r="A22" s="8" t="n">
        <v>25</v>
      </c>
      <c r="B22" s="6">
        <f>"pkg"&amp;A22</f>
        <v/>
      </c>
      <c r="C22" s="2" t="inlineStr">
        <is>
          <t>過年度平均からの売上乖離分析</t>
        </is>
      </c>
      <c r="D22" s="3" t="inlineStr">
        <is>
          <t>過年度平均からの売上乖離分析
以下の目的に役立てるための分析結果ビジュアルをAudit Analytics分析パッケージの実施により監査チームに提供する。
・過去の売上トレンドから当期の売上予測幅を算出し、当期の売上実績と比較することで、過去のトレンドから乖離した月を識別する
・また、乖離した月について、「商品」「営業所」「請求先」等にドリルダウンすることで、要因を特定する　等</t>
        </is>
      </c>
      <c r="E22" s="3" t="inlineStr">
        <is>
          <t>Exec_Scr_01_Create_WRK_01_SALES_DATA_CURRENT_YEAR.sql
Exec_Scr_02_Create_WRK_02_SALES_DATA_PAST_YEARS.sql
Exec_Scr_03_Create_WRK_03_SUMMARY_SALES_DATA_CY.sql
Exec_Scr_04_Create_REP_01_SUMMARY_SALES_DATA_PY.sql
Exec_Scr_05_Create_WRK_04_AVERAGE_SALES_DATA_PY.sql
Exec_Scr_06_Create_REP_02_SALES_DISCREPANCY_ANALYSIS.sql
Exec_Scr_07_Create_REP_03_MONTHLY_TOTAL_SALES_DATA_CY.sql</t>
        </is>
      </c>
      <c r="F22" s="3" t="inlineStr">
        <is>
          <t>WRK_01_SALES_DATA_CURRENT_YEAR
WRK_02_SALES_DATA_PAST_YEARS
WRK_03_SUMMARY_SALES_DATA_CY
WRK_04_AVERAGE_SALES_DATA_PY
REP_01_SUMMARY_SALES_DATA_PY
REP_02_SALES_DISCREPANCY_ANALYSIS
REP_03_MONTHLY_TOTAL_SALES_DATA_CY</t>
        </is>
      </c>
      <c r="G22" s="3" t="n"/>
      <c r="H22" s="3" t="n"/>
      <c r="I22" s="3" t="inlineStr">
        <is>
          <t>売上指標が”売上単価"の場合
REP_02_SALES_DISCREPANCY_ANALYSIS
売上指標が”売上金額”,"売上数量"の場合
REP_03_MONTHLY_TOTAL_SALES_DATA_CY</t>
        </is>
      </c>
    </row>
    <row r="23" hidden="1" ht="144" customHeight="1" s="85">
      <c r="A23" s="8" t="n">
        <v>26</v>
      </c>
      <c r="B23" s="6">
        <f>"pkg"&amp;A23</f>
        <v/>
      </c>
      <c r="C23" s="2" t="inlineStr">
        <is>
          <t>滞留債権分析</t>
        </is>
      </c>
      <c r="D23" s="3" t="inlineStr">
        <is>
          <t>滞留債権分析
以下の目的に役立てるための分析結果ビジュアルをAudit Analytics分析パッケージの実施により監査チームに提供する。
・売上債権評価リスクの全体感の把握、また、属性ごとのリスクを識別する　等</t>
        </is>
      </c>
      <c r="E23" s="3" t="inlineStr">
        <is>
          <t>Exec_Scr_01_Create_WRK_01_RECEIVABLE_DATA_CURRENT_YEAR.sql
Exec_Scr_02_Create_WRK_02_RECEIVABLE_DATA_PREVIOUS_YEAR.sql
Exec_Scr_03_Create_WRK_03_CUSTOMER_MASTER.sql
Exec_Scr_04_Create_WRK_04_BAD_DEBT_DATA.sql
Exec_Scr_05_Create_REP_01_RETAINED_RECEIVABLE_ANALYSIS.sql</t>
        </is>
      </c>
      <c r="F23" s="3" t="inlineStr">
        <is>
          <t xml:space="preserve">WRK_01_RECEIVABLE_DATA_CURRENT_YEAR
WRK_02_RECEIVABLE_DATA_PREVIOUS_YEAR
WRK_03_CUSTOMER_MASTER
WRK_04_BAD_DEBT_DATA
REP_01_RETAINED_RECEIVABLE_ANALYSIS
ERR_01_DUPLICATE_RECEIVABLE_DATA
ERR_02_DUPLICATE_RECEIVABLE_DATA
ERR_03_NO_CUSTOMER_MASTER_DATA
ERR_04_NO_RECEIVABLE_DATA
</t>
        </is>
      </c>
      <c r="G23" s="3" t="n"/>
      <c r="H23" s="3" t="n"/>
      <c r="I23" s="3" t="inlineStr">
        <is>
          <t>REP_01_RETAINED_RECEIVABLE_ANALYSIS</t>
        </is>
      </c>
    </row>
    <row r="24" hidden="1" ht="187.2" customHeight="1" s="85">
      <c r="A24" s="8" t="n">
        <v>27</v>
      </c>
      <c r="B24" s="6">
        <f>"pkg"&amp;A24</f>
        <v/>
      </c>
      <c r="C24" s="2" t="inlineStr">
        <is>
          <t>融資ポートフォリオ分析</t>
        </is>
      </c>
      <c r="D24" s="3" t="inlineStr">
        <is>
          <t>融資ポートフォリオ分析
以下の目的に役立てるための分析結果ビジュアルをAudit Analytics分析パッケージの実施により監査チームに提供する。
・リスクが異なる債務者属性ごとに、推移、変動を把握し、定量的なリスク評価を行う　等</t>
        </is>
      </c>
      <c r="E24" s="3" t="inlineStr">
        <is>
          <t>Exec_Scr_01_Create_WRK_01_CREDIT_RISK_RATING_DATA_CY.sql
Exec_Scr_02_Create_WRK_02_CREDIT_RISK_RATING_DATA_PY1.sql
Exec_Scr_03_Create_WRK_03_CREDIT_RISK_RATING_DATA_PY2.sql
Exec_Scr_04_Create_WRK_04_CREDIT_RISK_RATING_DATA_PY3.sql
Exec_Scr_05_Create_WRK_05_CREDIT_RISK_RATING_DATA_PY4.sql
Exec_Scr_06_Create_WRK_06_CREDIT_RISK_RATING_DATA_PY5.sql
Exec_Scr_07_Create_WRK_07_BRANCH_MASTER.sql
Exec_Scr_08_Create_WRK_08_CREDIT_RISK_RATING_DATA_CY_WITH_PY1.sql
Exec_Scr_09_Create_WRK_09_CREDIT_RISK_RATING_DATA_PY1_WITH_CY.sql
Exec_Scr_10_Create_WRK_10_CREDIT_RISK_RATING_DATA_ALL.sql
Exec_Scr_11_Create_REP_01_CREDIT_RISK_PORTFOLIO.sql</t>
        </is>
      </c>
      <c r="F24" s="3" t="inlineStr">
        <is>
          <t>WRK_01_CREDIT_RISK_RATING_DATA_CY
WRK_02_CREDIT_RISK_RATING_DATA_PY1
WRK_03_CREDIT_RISK_RATING_DATA_PY2
WRK_04_CREDIT_RISK_RATING_DATA_PY3
WRK_05_CREDIT_RISK_RATING_DATA_PY4
WRK_06_CREDIT_RISK_RATING_DATA_PY5
WRK_07_BRANCH_MASTER
WRK_08_CREDIT_RISK_RATING_DATA_CY_WITH_PY1
WRK_09_CREDIT_RISK_RATING_DATA_PY1_WITH_CY
WRK_10_CREDIT_RISK_RATING_DATA_ALL
REP_01_CREDIT_RISK_PORTFOLIO
ERR_01_NO_BRANCH_NAME
ERR_02_DUPLICATE_RECEIVABLE_DATA</t>
        </is>
      </c>
      <c r="G24" s="3" t="inlineStr">
        <is>
          <t>(REP_01_CREDIT_RISK_PORTFOLIO)
CREDIT_LIMIT
GUARANTEED_VALUE
LOAN_LOSS_ALLOWANCE</t>
        </is>
      </c>
      <c r="H24" s="3" t="inlineStr">
        <is>
          <t>・REP_01_CREDIT_RISK_PORTFOLIO の各数値項目と、WRK_01～WRK_06にマッピングしたデータ(CREDIT_LIMIT=0のレコードを除く)のそれらの合計値が一致していることを確認した。
・下記テーブルにレコードが出力されていないことを確認した。
　・ERR_01_NO_BRANCH_NAME
　・ERR_02_DUPLICATE_RECEIVABLE_DATA</t>
        </is>
      </c>
      <c r="I24" s="3" t="inlineStr">
        <is>
          <t>REP_01_CREDIT_RISK_PORTFOLIO</t>
        </is>
      </c>
    </row>
    <row r="25" hidden="1" ht="259.2" customHeight="1" s="85">
      <c r="A25" s="8" t="n">
        <v>28</v>
      </c>
      <c r="B25" s="6">
        <f>"pkg"&amp;A25</f>
        <v/>
      </c>
      <c r="C25" s="2" t="inlineStr">
        <is>
          <t>販売金額・粗利率増減分析</t>
        </is>
      </c>
      <c r="D25" s="3" t="inlineStr">
        <is>
          <t>販売金額・粗利率増減分析
以下の目的に役立てるための分析結果ビジュアルをAudit Analytics分析パッケージの実施により監査チームに提供する。
・不適切な条件で取引が行われた可能性がある集約先や、潜在的な虚偽表示のリスクのある集約先を識別する
・データに基づき集約項目別の取引状況を網羅的かつ俯瞰的に把握、理解する　等</t>
        </is>
      </c>
      <c r="E25" s="3" t="inlineStr">
        <is>
          <t>Exec_Scr_01_Create_WRK_01_SALES_DATA_CY.sql
Exec_Scr_02_Create_WRK_02_SALES_DATA_PY.sql
Exec_Scr_03_Create_WRK_03_GROUPING_MASTER.sql
Exec_Scr_04_Create_WRK_04_SALES_DATA_CY_SUM.sql
Exec_Scr_05_Create_WRK_05_SALES_DATA_PY_SUM.sql
Exec_Scr_06_Create_REP_01_SALES_MOVEMENT.sql
Exec_Scr_07_Create_REP_02_MONTHLY_SALES_DATA.sql</t>
        </is>
      </c>
      <c r="F25" s="3" t="inlineStr">
        <is>
          <t>WRK_01_SALES_DATA_CY
WRK_02_SALES_DATA_PY
WRK_03_GROUPING_MASTER
WRK_04_SALES_DATA_CY_SUM
WRK_05_SALES_DATA_PY_SUM
REP_01_SALES_MOVEMENT
REP_02_MONTHLY_SALES_DATA
ERR_01_MISSING_GROUPING_DATA</t>
        </is>
      </c>
      <c r="G25" s="3" t="inlineStr">
        <is>
          <t>(REP_01_SALES_MOVEMENT)
SALES_AMOUNT_TOTAL_CY
GROSS_MARGIN_TOTAL_CY
SALES_AMOUNT_TOTAL_PY
GROSS_MARGIN_TOTAL_PY
(出力されたログより)
EXCLUDE_GROSS_MARGIN_CY(WRK_04)
EXCLUDE_GROSS_MARGIN_PY(WRK_05)
(REP_02_MONTHLY_SALES_DATA)
SALES_AMOUNT
SALES_COST
GROSS_MARGIN</t>
        </is>
      </c>
      <c r="H25" s="3" t="inlineStr">
        <is>
          <t>・REP_01_SALES_MOVEMENTのSALES_AMOUNT_TOTAL_CY ,SALES_AMOUNT_TOTAL_PYとWRK_01、WRK_02にマッピングしたデータのそれと合計値が一致していることを確認した。
・REP_01_SALES_MOVEMENTのGROSS_MARGIN_TOTAL_CY とログ中のEXCLUDE_GROSS_MARGIN_CY(WRK_04)の合計値が、WRK_01にマッピングしたデータのGROSS_MARGIN(またはSALES_AMOUNT - SALES_COST)の合計値と一致していることを確認した。また同様に、REP_01_SALES_MOVEMENTのGROSS_MARGIN_TOTAL_PY とログ中のEXCLUDE_GROSS_MARGIN_PY(WRK_05)の合計値が、WRK_02にマッピングしたデータのGROSS_MARGIN(またはSALES_AMOUNT - SALES_COST)の合計値と一致していることを確認した。
・REP_02_MONTHLY_SALES_DATAの各数値項目とWRK_01、WRK_02にマッピングしたデータのそれと合計値が一致していることを確認した。
・下記テーブルにレコードが出力されていないことを確認した。
　・ERR_01_MISSING_GROUPING_DATA</t>
        </is>
      </c>
      <c r="I25" s="3" t="inlineStr">
        <is>
          <t>REP_01_SALES_MOVEMENT
REP_02_MONTHLY_SALES_DATA</t>
        </is>
      </c>
    </row>
    <row r="26" hidden="1" ht="115.2" customHeight="1" s="85">
      <c r="A26" s="8" t="n">
        <v>29</v>
      </c>
      <c r="B26" s="6">
        <f>"pkg"&amp;A26</f>
        <v/>
      </c>
      <c r="C26" s="2" t="inlineStr">
        <is>
          <t>リベート(未収入金)分析</t>
        </is>
      </c>
      <c r="D26" s="2" t="inlineStr">
        <is>
          <t>リベート(未収入金)分析
以下の目的に役立てるための分析結果ビジュアルをAudit Analytics分析パッケージの実施により監査チームに提供する。
・入金予定日が著しく先日付となっている領域を識別することで、リベートの前倒し計上リスクが高い取引を識別する
・入金遅延となっている領域を識別することで、架空・過大リベートのリスクや評価の妥当性のリスクが高い取引を識別する</t>
        </is>
      </c>
      <c r="E26" s="3" t="inlineStr">
        <is>
          <t>Exec_Scr_01_Create_WRK_01_REBATE_RECEIVABLES_DETAIL.sql
Exec_Scr_02_Create_WRK_02_SUPPLIER_MASTER.sql
Exec_Scr_03_Create_WRK_03_SALESPERSON_MASTER.sql
Exec_Scr_04_Create_REP_01_REBATE_RECEIVABLES.sql</t>
        </is>
      </c>
      <c r="F26" s="3" t="inlineStr">
        <is>
          <t>WRK_01_REBATE_RECEIVABLES
WRK_02_SUPPLIER_MASTER
WRK_03_SALESPERSON_MASTER
REP_01_REBATE_RECEIVABLES
ERR_02_REBATE_RECEIVABLES_BY_UNKNOWN_SUPPLIER
ERR_03_REBATE_RECEIVABLES_BY_UNKNOWN_SALESPERSON</t>
        </is>
      </c>
      <c r="G26" s="3" t="n"/>
      <c r="H26" s="3" t="n"/>
      <c r="I26" s="3" t="inlineStr">
        <is>
          <t>REP_01_REBATE_RECEIVABLES</t>
        </is>
      </c>
    </row>
    <row r="27" hidden="1" ht="158.4" customHeight="1" s="85">
      <c r="A27" s="8" t="n">
        <v>30</v>
      </c>
      <c r="B27" s="8">
        <f>"pkg"&amp;A27</f>
        <v/>
      </c>
      <c r="C27" s="10" t="inlineStr">
        <is>
          <t>仕入高と受取リベートの傾向分析</t>
        </is>
      </c>
      <c r="D27" s="3" t="inlineStr">
        <is>
          <t xml:space="preserve">仕入高と受取リベートの傾向分析
以下の目的に役立てるための分析結果ビジュアルをAudit Analytics分析パッケージの実施により監査チームに提供する。
・受取リベートの全体傾向を把握する
・架空リベート計上リスクの高い「仕入減少かつ受取リベート増加」取引を識別する
</t>
        </is>
      </c>
      <c r="E27" s="3" t="inlineStr">
        <is>
          <t>Exec_Scr_01_Create_WRK_01_PURCHASE_DATA_CY.sql
Exec_Scr_02_Create_WRK_02_PURCHASE_DATA_PY.sql
Exec_Scr_03_Create_WRK_03_REBATE_DATA_CY.sql
Exec_Scr_04_Create_WRK_04_REBATE_DATA_PY.sql
Exec_Scr_05_Create_WRK_05_SUPPLIER_MASTER.sql
Exec_Scr_06_Merge_PURCHASE_DATA.sql
Exec_Scr_07_Merge_REBATE_DATA.sql
Exec_Scr_08_Create_REP_02_REBATE_ANALYSIS.sql</t>
        </is>
      </c>
      <c r="F27" s="3" t="inlineStr">
        <is>
          <t>WRK_01_PURCHASE_DATA_CURRENT_YEAR
WRK_02_PURCHASE_DATA_PREVIOUS_YEAR
WRK_03_REBATE_DATA_CY
WRK_04_REBATE_DATA_PY
WRK_05_SUPPLIER_MASTER
WRK_06_PURCHASE_DATA_MERGED
REP_01_REBATE_DATA_MERGED
REP_02_REBATE_ANALYSIS
ERR_01_NO_PURCHASE_DATA_CURRENT_YEAR
ERR_02_NO_PURCHASE_DATA_PREVIOUS_YEAR
ERR_03_MISSING_SUPPLIER_DATA</t>
        </is>
      </c>
      <c r="G27" s="3" t="n"/>
      <c r="H27" s="3" t="n"/>
      <c r="I27" s="3" t="inlineStr">
        <is>
          <t>REP_01_REBATE_DATA_MERGED
REP_02_REBATE_ANALYSIS</t>
        </is>
      </c>
    </row>
    <row r="28" hidden="1" ht="172.8" customHeight="1" s="85">
      <c r="A28" s="8" t="n">
        <v>31</v>
      </c>
      <c r="B28" s="8">
        <f>"pkg"&amp;A28</f>
        <v/>
      </c>
      <c r="C28" s="10" t="inlineStr">
        <is>
          <t>日数に着目した収益認識分析</t>
        </is>
      </c>
      <c r="D28" s="3" t="inlineStr">
        <is>
          <t>日数に着目した収益認識分析
以下の目的に役立てるための分析結果ビジュアルをAudit Analytics分析パッケージの実施により監査チームに提供する。
・取引毎の利益率(or売上単価)と、日数（ex. 受注日から計上日までのリードタイム）を表示することにより、例えば、収益性が高くかつリードタイムの短い、“会社に都合よく乖離しており、不正の兆候を示す取引” 等を識別する
・全体傾向やボリュームゾーンの把握、またそこから乖離する取引を識別する</t>
        </is>
      </c>
      <c r="E28" s="3" t="inlineStr">
        <is>
          <t>Exec_Scr_01_Create_WRK_PRODUCT_MASTER.sql
Exec_Scr_02_Create_WRK_ORDER_DATA.sql
Exec_Scr_03_Create_WRK_SALES_DATA.sql
Exec_Scr_04_Create_WRK_CUSTOMER_MASTER.sql
Exec_Scr_05_Create_WRK_ORDER_DATA_CALCULATED.sql
Exec_Scr_06_Create_REP_REVENUE_RECOGNITION_ANALYSIS.sql</t>
        </is>
      </c>
      <c r="F28" s="3" t="inlineStr">
        <is>
          <t>WRK_01_PRODUCT_MASTER
WRK_02_ORDER_DATA
WRK_03_SALES_DATA
WRK_04_CUSTOMER_MASTER
WRK_05_ORDER_DATA_CALCULATED
REP_01_REVENUE_RECOGNITION_ANALYSIS
ERR_01_ORDER_DATA_DUPLICATED_ORDER_ID
ERR_02_SALES_DATA_DUPLICATED_ORDER_ID
ERR_03_NO_PRODUCT_MASTER_DATE
ERR_04_NO_SALES_DATA
ERR_05_NO_ORDER_DATA
ERR_06_SALES_AMOUNT_ZERO_DATA</t>
        </is>
      </c>
      <c r="G28" s="3" t="n"/>
      <c r="H28" s="3" t="n"/>
      <c r="I28" s="10" t="inlineStr">
        <is>
          <t>REP_01_REVENUE_RECOGNITION_ANALYSIS</t>
        </is>
      </c>
    </row>
    <row r="29" hidden="1" ht="201.6" customHeight="1" s="85">
      <c r="A29" s="8" t="n">
        <v>32</v>
      </c>
      <c r="B29" s="8">
        <f>"pkg"&amp;A29</f>
        <v/>
      </c>
      <c r="C29" s="10" t="inlineStr">
        <is>
          <t>店舗減損分析⑤</t>
        </is>
      </c>
      <c r="D29" s="3" t="inlineStr">
        <is>
          <t xml:space="preserve">店舗減損分析⑤
以下の目的に役立てるための分析結果ビジュアルをAudit Analytics分析パッケージの実施により監査チームに提供する。
・各費用項目の対売上高比率を店舗間比較し月次の対売上高比率のばらつきを視覚化することで、店舗損益付け替えリスクの高い店舗を識別し、減損検討に用いる
</t>
        </is>
      </c>
      <c r="E29" s="3" t="inlineStr">
        <is>
          <t>Exec_Scr_01_Create_WRK_01_SALES_DATA.sql
Exec_Scr_02_Create_WRK_02_COST_1_DATA.sql
Exec_Scr_03_Create_WRK_03_COST_2_DATA.sql
Exec_Scr_04_Create_WRK_04_COST_3_DATA.sql
Exec_Scr_05_Create_WRK_05_COST_4_DATA.sql
Exec_Scr_06_Create_WRK_06_FIXED_ASSETS_DATA.sql
Exec_Scr_07_Create_WRK_07_STORE_MASTER.sql
Exec_Scr_08_Create_REP_01_MONTHLY_SALES_COST_DATA.sql
Exec_Scr_09_Create_REP_02_STORE_IMPAIRED_ANALYSIS.sql</t>
        </is>
      </c>
      <c r="F29" s="3" t="inlineStr">
        <is>
          <t>WRK_01_SALES_DATA
WRK_02_COST_1_DATA
WRK_03_COST_2_DATA
WRK_04_COST_3_DATA
WRK_05_COST_4_DATA
WRK_06_FIXED_ASSETS_DATA
WRK_07_STORE_MASTER
REP_01_MONTHLY_SALES_COST_DATA
REP_02_STORE_IMPAIRED_ANALYSIS
ERR_01_NO_SALES_DATA
ERR_02_NO_COST_DATA
ERR_03_NO_FIXED_ASSETS_DATA
ERR_04_NO_SALES_COST_DATA
ERR_05_NO_STORE_NAME_DATA</t>
        </is>
      </c>
      <c r="G29" s="3" t="n"/>
      <c r="H29" s="3" t="n"/>
      <c r="I29" s="3" t="inlineStr">
        <is>
          <t>REP_01_MONTHLY_SALES_COST_DATA
REP_02_STORE_IMPAIRED_ANALYSIS</t>
        </is>
      </c>
    </row>
    <row r="30" hidden="1" ht="244.8" customHeight="1" s="85">
      <c r="A30" s="8" t="n">
        <v>33</v>
      </c>
      <c r="B30" s="8">
        <f>"pkg"&amp;A30</f>
        <v/>
      </c>
      <c r="C30" s="10" t="inlineStr">
        <is>
          <t>リース契約分析</t>
        </is>
      </c>
      <c r="D30" s="3" t="inlineStr">
        <is>
          <t xml:space="preserve">リース契約分析
以下の目的に役立てるための分析結果ビジュアルをAudit Analytics分析パッケージの実施により監査チームに提供する。
・担当部課、資産区分といった種々の観点から全リース契約の契約総額、契約期間、利回り等について可視化することで、全体把握、理解の深化をはかる。
・他と異なる状況を示す異常性の高い契約を識別する。
</t>
        </is>
      </c>
      <c r="E30" s="3" t="inlineStr">
        <is>
          <t xml:space="preserve">Exec_Scr_01_Create_WRK_01_CONTRACT_DETAILED_DATA.sql
Exec_Scr_02_Create_WRK_02_CUSTOMER_MASTER.sql
Exec_Scr_03_Create_WRK_03_DEPT_MASTER.sql
Exec_Scr_04_Create_WRK_04_SALESPERSON_MASTER.sql
Exec_Scr_05_Create_WRK_05_ASSET_CLASS_MASTER.sql
Exec_Scr_06_Create_REP_01_LEASE_CONTRACT_ANALYSIS.sql
</t>
        </is>
      </c>
      <c r="F30" s="3" t="inlineStr">
        <is>
          <t xml:space="preserve">WRK_01_CONTRACT_DETAILED_DATA
WRK_02_CUSTOMER_MASTER
WRK_03_DEPT_MASTER
WRK_04_SALESPERSON_MASTER
WRK_05_ASSET_CLASS_MASTER
REP_01_LEASE_CONTRACT_ANALYSIS
WNG_01_LEASE_CONTRACTS_TO_UNKNOWN_CUSTOMER
WNG_02_LEASE_CONTRACTS_BY_UNKNOWN_SALESPERSON
WNG_03_LEASE_CONTRACTS_WITH_UNKNOWN_TERM_AMT_YIELD
</t>
        </is>
      </c>
      <c r="G30" s="3" t="n"/>
      <c r="H30" s="3" t="n"/>
      <c r="I30" s="3" t="inlineStr">
        <is>
          <t>REP_01_LEASE_CONTRACT_ANALYSIS</t>
        </is>
      </c>
    </row>
    <row r="31" hidden="1" ht="72" customHeight="1" s="85">
      <c r="A31" s="8" t="n">
        <v>34</v>
      </c>
      <c r="B31" s="8">
        <f>"pkg"&amp;A31</f>
        <v/>
      </c>
      <c r="C31" s="10" t="inlineStr">
        <is>
          <t>工事支出金_工事原価分析(完成基準)</t>
        </is>
      </c>
      <c r="D31" s="3" t="inlineStr">
        <is>
          <t>工事支出金_工事原価分析(完成基準)
以下の目的に役立てるための分析結果ビジュアルをAudit Analytics分析パッケージの実施により監査チームに提供する。
・工事完成基準の適用プロジェクトについて、工事原価予実比又は粗利率がボリュームゾーンから乖離している案件を識別する</t>
        </is>
      </c>
      <c r="E31" s="10" t="inlineStr">
        <is>
          <t>Exec_Scr_01_Create_REP_01_CONTRACT_DATA.sql</t>
        </is>
      </c>
      <c r="F31" s="3" t="inlineStr">
        <is>
          <t>REP_01_CONTRACT_DATA
ERR_01_MISSING_ANALYSIS_OBJECT_DATA</t>
        </is>
      </c>
      <c r="G31" s="3" t="n"/>
      <c r="H31" s="3" t="n"/>
      <c r="I31" s="10" t="inlineStr">
        <is>
          <t>REP_01_CONTRACT_DATA</t>
        </is>
      </c>
    </row>
    <row r="32" hidden="1" ht="172.8" customHeight="1" s="85">
      <c r="A32" s="8" t="n">
        <v>35</v>
      </c>
      <c r="B32" s="8">
        <f>"pkg"&amp;A32</f>
        <v/>
      </c>
      <c r="C32" s="10" t="inlineStr">
        <is>
          <t>工事支出金_工事原価分析(進行基準)</t>
        </is>
      </c>
      <c r="D32" s="3" t="inlineStr">
        <is>
          <t>工事支出金_工事原価分析(工事進行基準)
以下の目的に役立てるための分析結果ビジュアルをAudit Analytics分析パッケージの実施により監査チームに提供する。
・工事進行基準を適用しているプロジェクトの全体感を把握する。
・リスクシナリオに基づくプロジェクトの抽出機能によって、工事原価の付替、繰延のリスクのあるプロジェクトを識別する。</t>
        </is>
      </c>
      <c r="E32" s="3" t="inlineStr">
        <is>
          <t>Exec_Scr_01_Create_WRK_01_PROGRESS_BASE_DATA.sql
Exec_Scr_02_Valid_WRK_01_PROGRESS_BASE_DATA.sql
Exec_Scr_03_Create_WRK_02_COST_SALES_CUMULATION.sql
Exec_Scr_04_Create_WRK_03_PROGRESS_BASE_DATA2.sql
Exec_Scr_05_Create_CHK_S01_COST_DECREASE.sql
Exec_Scr_06_Create_CHK_S02_ST_DATE_GAP.sql
Exec_Scr_07_Create_CHK_S03_ED_DATE_GAP.sql
Exec_Scr_08_Create_CHK_S04_COST_SPEED_DOWN.sql
Exec_Scr_09_Create_CHK_S05_PROJECT_AT_A_LOSS.sql
Exec_Scr_10_Create_CHK_S07_ESTIMATE_COST_CHG.sql
Exec_Scr_11_Create_REP_01_PROJECT_PROGRESS_ANALYTICS.sql</t>
        </is>
      </c>
      <c r="F32" s="3" t="inlineStr">
        <is>
          <t>WRK_01_PROGRESS_BASE_DATA
WRK_02_COST_SALES_CUMULATION
WRK_03_PROGRESS_BASE_DATA2
CHK_S01_COST_DECREASE
CHK_S02_ST_DATE_GAP
CHK_S03_ED_DATE_GAP
CHK_S04_COST_SPEED_DOWN
CHK_S05_PROJECT_AT_A_LOSS
CHK_S07_ESTIMATE_COST_CHG
REP_01_PROJECT_PROGRESS_ANALYTICS
ERR_01_PROGRESS_BASE_DATA
ERR_02_COST_INCONSISTENCE</t>
        </is>
      </c>
      <c r="G32" s="3" t="n"/>
      <c r="H32" s="3" t="n"/>
      <c r="I32" s="10" t="inlineStr">
        <is>
          <t>REP_01_PROJECT_PROGRESS_ANALYTICS</t>
        </is>
      </c>
    </row>
    <row r="33" hidden="1" ht="144" customHeight="1" s="85">
      <c r="A33" s="8" t="n">
        <v>36</v>
      </c>
      <c r="B33" s="8">
        <f>"pkg"&amp;A33</f>
        <v/>
      </c>
      <c r="C33" s="10" t="inlineStr">
        <is>
          <t>在庫正味売却価額分析</t>
        </is>
      </c>
      <c r="D33" s="3" t="inlineStr">
        <is>
          <t>在庫正味売却価額分析
以下の目的に役立てるための分析結果ビジュアルをAudit Analytics分析パッケージの実施により監査チームに提供する。
・在庫評価の検討において、過去の実績売価から「潜在評価損額」を試算することで、金額的重要性を踏まえて重点的に検討するべき品目群を識別する。</t>
        </is>
      </c>
      <c r="E33" s="3" t="inlineStr">
        <is>
          <t>Exec_Scr_01_Create_WRK_INVENTORY_DATA.sql
Exec_Scr_02_Create_WRK_SALES_DATA.sql
Exec_Scr_03_Create_WRK_PRODUCT_MASTER.sql
Exec_Scr_04_Create_WRK_AVERAGE_PPU.sql
Exec_Scr_05_Create_WRK_MONTHLY_PPU.sql
Exec_Scr_06_Create_WRK_LATEST_PPU.sql
Exec_Scr_07_Create_WRK_MINIMUM_PPU.sql
Exec_Scr_08_Create_REP_NRV_ANALYSIS.sql</t>
        </is>
      </c>
      <c r="F33" s="3" t="inlineStr">
        <is>
          <t>WRK_01_INVENTORY_DATA
WRK_02_SALES_DATA
WRK_03_PRODUCT_MASTER
WRK_04_AVERAGE_PPU
WRK_05_MONTHLY_PPU
WRK_06_LATEST_PPU
WRK_07_MINIMUM_PPU
REP_01_NRV_ANALYSIS
WNG_01_MISSING_PRDUCT_MASTER_DATA
ERR_02_ERR_INVENTORY_DATA</t>
        </is>
      </c>
      <c r="G33" s="3" t="n"/>
      <c r="H33" s="3" t="n"/>
      <c r="I33" s="10" t="inlineStr">
        <is>
          <t>REP_01_NRV_ANALYSIS</t>
        </is>
      </c>
    </row>
    <row r="34" hidden="1" ht="72" customHeight="1" s="85">
      <c r="A34" s="8" t="n">
        <v>37</v>
      </c>
      <c r="B34" s="8">
        <f>"pkg"&amp;A34</f>
        <v/>
      </c>
      <c r="C34" s="10" t="inlineStr">
        <is>
          <t>連結仕訳分析</t>
        </is>
      </c>
      <c r="D34" s="3" t="inlineStr">
        <is>
          <t>連結仕訳分析
以下の目的に役立てるための分析結果ビジュアルをAudit Analytics分析パッケージの実施により監査チームに提供する。
・ グループ間取引の全体像の把握  会社間の取引金額の把握  異常な仕訳の絞り込み</t>
        </is>
      </c>
      <c r="E34" s="3" t="n"/>
      <c r="F34" s="10" t="n"/>
      <c r="G34" s="3" t="n"/>
      <c r="H34" s="3" t="n"/>
      <c r="I34" s="3" t="n"/>
    </row>
    <row r="35" hidden="1" ht="409.6" customHeight="1" s="85">
      <c r="A35" s="8" t="n">
        <v>38</v>
      </c>
      <c r="B35" s="8">
        <f>"pkg"&amp;A35</f>
        <v/>
      </c>
      <c r="C35" s="10" t="inlineStr">
        <is>
          <t>融資ポートフォリオ分析(約定編)</t>
        </is>
      </c>
      <c r="D35" s="3" t="inlineStr">
        <is>
          <t>融資ポートフォリオ分析(約定編)
以下の目的に役立てるための分析結果ビジュアルをAudit Analytics分析パッケージの実施により監査チームに提供する。
①利回り：金利別の金額規模を、債務者属性ごとに、過年度からの変動も含めて理解する。
②貸出期間：債務者属性ごとに、（残存）貸出期間ごとの金額規模及び金利水準を理解する。
③保全率・利回り分布：債務者属性ごとに、債務者別の保全率と利回りを散布図で示して、異常な約定条件の債務者を特定する。</t>
        </is>
      </c>
      <c r="E35" s="3" t="inlineStr">
        <is>
          <t>EXEC_Scr_01_Create_WRK_01_CONTRACT_DATA_CY.sql
EXEC_Scr_02_Create_WRK_02_CREDIT_RISK_RATING_DATA_CY.sql
EXEC_Scr_03_Create_WRK_03_CONTRACT_DATA_PY1.sql
EXEC_Scr_04_Create_WRK_04_CREDIT_RISK_RATING_DATA_PY1.sql
EXEC_Scr_05_Create_WRK_05_CONTRACT_DATA_PY2.sql
EXEC_Scr_06_Create_WRK_06_CREDIT_RISK_RATING_DATA_PY2.sql
EXEC_Scr_07_Create_WRK_07_CONTRACT_DATA_PY3.sql
EXEC_Scr_08_Create_WRK_08_CREDIT_RISK_RATING_DATA_PY3.sql
EXEC_Scr_09_Create_WRK_09_CONTRACT_DATA_PY4.sql
EXEC_Scr_10_Create_WRK_10_CREDIT_RISK_RATING_DATA_PY4.sql
EXEC_Scr_11_Create_WRK_11_LOAN_TYPE_MASTER.sql
EXEC_Scr_12_Create_WRK_12_FINANCING_TYPE_MASTER.sql
EXEC_Scr_13_Create_WRK_13_BORROWER_LEVEL_MASTER.sql
EXEC_Scr_14_Create_WRK_14_CREDIT_RATING_MASTER.sql
EXEC_Scr_15_Create_WRK_15_BIZ_CATEGORY_MASTER.sql
EXEC_Scr_16_Create_WRK_16_BORROWER_TYPE_MASTER.sql
EXEC_Scr_17_Create_WRK_17_BORROWER_TYPE_MASTER2.sql
EXEC_Scr_18_Create_WRK_18_BRANCH_MASTER.sql
EXEC_Scr_19_Create_WRK_19_SUB_DATA_CY.sql
EXEC_Scr_20_Create_WRK_20_SUB_DATA_PY1.sql
EXEC_Scr_21_Create_WRK_21_SUB_DATA_PY2.sql
EXEC_Scr_22_Create_WRK_22_SUB_DATA_PY3.sql
EXEC_Scr_23_Create_WRK_23_SUB_DATA_PY4.sql
EXEC_Scr_24_Create_WRK_24_MAIN_DATA.sql
EXEC_Scr_25_Create_REP_CREDIT_RISK_PORTFOLIO.sql</t>
        </is>
      </c>
      <c r="F35" s="3" t="inlineStr">
        <is>
          <t>WRK_01_CONTRACT_DATA_CY
WRK_02_CREDIT_RISK_RATING_DATA_CY
WRK_03_CONTRACT_DATA_PY1
WRK_04_CREDIT_RISK_RATING_DATA_PY1
WRK_05_CONTRACT_DATA_PY2
WRK_06_CREDIT_RISK_RATING_DATA_PY2
WRK_07_CONTRACT_DATA_PY3
WRK_08_CREDIT_RISK_RATING_DATA_PY3
WRK_09_CONTRACT_DATA_PY4
WRK_10_CREDIT_RISK_RATING_DATA_PY4
WRK_11_LOAN_TYPE_MASTER
WRK_12_FINANCING_TYPE_MASTER
WRK_13_BORROWER_LEVEL_MASTER
WRK_14_CREDIT_RATING_MASTER
WRK_15_BIZ_CATEGORY_MASTER
WRK_16_BORROWER_TYPE_MASTER
WRK_17_BORROWER_TYPE_MASTER2
WRK_18_BRANCH_MASTER
WRK_19_SUB_DATA_CY
WRK_20_SUB_DATA_PY1
WRK_21_SUB_DATA_PY2
WRK_22_SUB_DATA_PY3
WRK_23_MAIN_DATA
WRK_23_SUB_DATA_PY4
WRK_24_MAIN_DATA
ERR_01_RECEIVABLE_BALANCE_MINUS_CY
ERR_02_RECEIVABLE_BALANCE_MINUS_PY1
ERR_03_RECEIVABLE_BALANCE_MINUS_PY2
ERR_04_RECEIVABLE_BALANCE_MINUS_PY3
ERR_05_RECEIVABLE_BALANCE_MINUS_PY4
ERR_06_MISSING_LOAN_TYPE
ERR_07_MISSING_FINANCING_TYPE
ERR_08_MISSING_BORROWER_LEVEL
ERR_09_MISSING_CREDIT_RATING
ERR_10_MISSING_BIZ_CATEGORY
ERR_11_MISSING_BORROWER_TYPE
ERR_12_MISSING_BORROWER_TYPE2
ERR_13_MISSING_BRANCH_NAME</t>
        </is>
      </c>
      <c r="G35" s="3" t="n"/>
      <c r="H35" s="3" t="n"/>
      <c r="I35" s="10" t="inlineStr">
        <is>
          <t>REP_CREDIT_RISK_PORTFOLIO</t>
        </is>
      </c>
    </row>
    <row r="36" hidden="1" ht="115.2" customHeight="1" s="85">
      <c r="A36" s="8" t="n">
        <v>40</v>
      </c>
      <c r="B36" s="8">
        <f>"pkg"&amp;A36</f>
        <v/>
      </c>
      <c r="C36" s="10" t="inlineStr">
        <is>
          <t>工事契約リスクスコア分析</t>
        </is>
      </c>
      <c r="D36" s="3" t="inlineStr">
        <is>
          <t>工事契約リスクスコア分析
以下の目的に役立てるための分析結果ビジュアルをAudit Analytics分析パッケージの実施により監査チームに提供する。
・工期が長期二渡る工事契約について、契約単位でふくすうの条件でスコアリングを行うことで、リスクの高いプロジェクトクトを効率的に識別する。
・会社全体の工事契約について全体傾向を把握するとともに、リスクの偏在を特定する。</t>
        </is>
      </c>
      <c r="E36" s="3" t="inlineStr">
        <is>
          <t>Exec_Scr_01_Create_WRK_PROJECT_DATA.sql
Exec_Scr_02_Create_WNG_PROJECT_DUPLICATE_CUSTOMER.sql
Exec_Scr_03_Create_WRK_PROJECT_INITIAL_DATA.sql
Exec_Scr_04_Create_REP_PROJECT_RISK_SCORE_ANALYSIS.sql</t>
        </is>
      </c>
      <c r="F36" s="3" t="inlineStr">
        <is>
          <t>WRK_01_PROJECT_DATA
WRK_02_PROJECT_INITIAL_DATA
REP_01_PROJECT_RISK_SCORE_ANALYSIS
REP_02_PROJECT_DATA_HISTORY
WNG_01_PROJECT_DATA_DUPLICATE
ERR_01_PROJECT_DATA_NULL</t>
        </is>
      </c>
      <c r="G36" s="3" t="n"/>
      <c r="H36" s="3" t="n"/>
      <c r="I36" s="3" t="inlineStr">
        <is>
          <t>REP_01_PROJECT_RISK_SCORE_ANALYSIS
REP_02_PROJECT_DATA_HISTORY</t>
        </is>
      </c>
    </row>
    <row r="37" hidden="1" ht="273.6" customHeight="1" s="85">
      <c r="A37" s="8" t="n">
        <v>42</v>
      </c>
      <c r="B37" s="8">
        <f>"pkg"&amp;A37</f>
        <v/>
      </c>
      <c r="C37" s="10" t="inlineStr">
        <is>
          <t>店舗リスクスコア分析</t>
        </is>
      </c>
      <c r="D37" s="3" t="inlineStr">
        <is>
          <t>店舗リスクスコア分析
以下の目的に役立てるための分析結果ビジュアルをAudit Analytics分析パッケージの実施により監査チームに提供する。
・複数指標の前期比較から店舗のリスクを定量的に評価することで、より有効なリスク評価手続を実施する。
・リスク評価結果およびリスク対応手続の立案結果について、チーム内外からの納得感を得やすくする。</t>
        </is>
      </c>
      <c r="E37" s="3" t="inlineStr">
        <is>
          <t>Exec_Scr_01_Create_WRK_01_INDICATOR_AGG_DATA.sql
Exec_Scr_02_Create_WRK_02_INDICATOR_RATIO_DATA.sql
Exec_Scr_03_Create_WRK_03_SALES_DATA.sql
Exec_Scr_04_Create_WRK_04_STORE_MASTER.sql
Exec_Scr_05_Create_WRK_05_INDICATOR_RATIO_DATA_AVG.sql
Exec_Scr_06_Create_WRK_06_INDICATOR_DATA_TRANSPOSE.sql
Exec_Scr_07_Create_WRK_07_SALES_DATA_TRANSPOSE.sql
Exec_Scr_08_Create_WRK_08_INDICATOR_DATA_UNION.sql
Exec_Scr_09_Create_REP_01_STORE_RISK_SCORE_ANALYSIS.sql
Exec_Scr_10_Create_REP_02_STORE_RISK_SCORE_DETAIL.sql
Exec_Scr_11_Create_REP_03_STORE_SALES_DATA.sql</t>
        </is>
      </c>
      <c r="F37" s="3" t="inlineStr">
        <is>
          <t xml:space="preserve">WRK_01_INDICATOR_AGG_DATA
WRK_02_INDICATOR_RATIO_DATA
WRK_03_SALES_DATA
WRK_04_STORE_MASTER
WRK_05_INDICATOR_RATIO_DATA_AVG
WRK_06_INDICATOR_DATA_TRANSPOSE
WRK_07_SALES_DATA_TRANSPOSE
WRK_08_INDICATOR_DATA_UNION
REP_01_STORE_RISK_SCORE_ANALYSIS
REP_02_STORE_RISK_SCORE_DETAIL
REP_03_STORE_SALES_DATA
ERR_01_INDICATOR_AGG_DATA_NULL
ERR_02_INDICATOR_RATIO_DATA_NULL
ERR_03_SALES_DATA_NULL
ERR_04_STORE_MASTER_ NULL
WNG_01_STORE_MASTER_DATE_STRANGE
WNG_02_INDICATOR_DATA_STORE_MASTER_UNKNOWN
</t>
        </is>
      </c>
      <c r="G37" s="3" t="n"/>
      <c r="H37" s="3" t="n"/>
      <c r="I37" s="3" t="inlineStr">
        <is>
          <t>REP_01_STORE_RISK_SCORE_ANALYSIS
REP_02_STORE_RISK_SCORE_DETAIL
REP_03_STORE_SALES_DATA</t>
        </is>
      </c>
    </row>
    <row r="38" hidden="1" ht="115.2" customHeight="1" s="85">
      <c r="A38" s="8" t="n">
        <v>43</v>
      </c>
      <c r="B38" s="8">
        <f>"pkg"&amp;A38</f>
        <v/>
      </c>
      <c r="C38" s="10" t="inlineStr">
        <is>
          <t>プロジェクト案件リスクスコア分析</t>
        </is>
      </c>
      <c r="D38" s="3" t="inlineStr">
        <is>
          <t xml:space="preserve">プロジェクト案件リスクスコア分析
以下の目的に役立てるための分析結果ビジュアルをAudit Analytics分析パッケージの実施により監査チームに提供する。
・リスクシナリオに基づくプロジェクトの抽出機能によって、リスクの高いプロジェクトを効率的に識別する。
・会社全体のプロジェクトについて全体傾向を把握するとともに、リスクの偏在を特定する。
</t>
        </is>
      </c>
      <c r="E38" s="3" t="inlineStr">
        <is>
          <t>Exec_Scr_01_Create_WRK_01_PJ_BASE.sql
Exec_Scr_02_Create_REP_01_DATA_SOURCE.sql</t>
        </is>
      </c>
      <c r="F38" s="3" t="inlineStr">
        <is>
          <t>WRK_01_PJ_BASE
REP_01_DATA_SOURCE</t>
        </is>
      </c>
      <c r="G38" s="3" t="n"/>
      <c r="H38" s="3" t="n"/>
      <c r="I38" s="10" t="inlineStr">
        <is>
          <t>REP_01_DATA_SOURCE</t>
        </is>
      </c>
    </row>
    <row r="39" hidden="1" ht="288" customHeight="1" s="85">
      <c r="A39" s="8" t="n">
        <v>45</v>
      </c>
      <c r="B39" s="8">
        <f>"pkg"&amp;A39</f>
        <v/>
      </c>
      <c r="C39" s="10" t="inlineStr">
        <is>
          <t>為替差損益分析</t>
        </is>
      </c>
      <c r="D39" s="3" t="inlineStr">
        <is>
          <t>為替差損益分析
以下の目的に役立てるための分析結果ビジュアルをAudit Analytics分析パッケージの実施により監査チームに提供する。
・監査初期段階における為替差損益の内容理解及び量的重要性を把握する。
・期末時点における為替差損益の量的重要性の変化の有無及び概括的検討を実施する。</t>
        </is>
      </c>
      <c r="E39" s="3" t="inlineStr">
        <is>
          <t>Exec_Scr_01_Create_WRK_01_FX_RATE_DATA.sql
Exec_Scr_02_Create_WRK_02_FX_PL_DATA.sql
Exec_Scr_03_Create_WRK_03_SALES_DATA.sql
Exec_Scr_04_Create_WRK_04_PURCHASE_DATA.sql
Exec_Scr_05_Create_WRK_05_EXPENSE_DATA.sql
Exec_Scr_06_Create_WRK_06_OPTIONAL_DATA_1.sql
Exec_Scr_07_Create_WRK_07_OPTIONAL_DATA_2.sql
Exec_Scr_08_Create_WRK_08_OPTIONAL_DATA_3.sql
Exec_Scr_09_Create_WRK_09_FX_RATE_PY.sql
Exec_Scr_10_Create_WRK_10_FX_RATE_CY.sql
Exec_Scr_11_Create_WRK_11_FX_PL_DATA_SUM.sql
Exec_Scr_12_Create_REP_01_AMT_DATA.sql
Exec_Scr_13_Create_WRK_12_FX_PL_HEADER.sql
Exec_Scr_14_Create_REP_02_FX_PL_ANALYSIS.sql</t>
        </is>
      </c>
      <c r="F39" s="3" t="inlineStr">
        <is>
          <t>WRK_01_FX_RATE_DATA
WRK_02_FX_PL_DATA
WRK_03_SALES_DATA
WRK_04_PURCHASE_DATA
WRK_05_EXPENSE_DATA
WRK_06_OPTIONAL_DATA_1
WRK_07_OPTIONAL_DATA_2
WRK_08_OPTIONAL_DATA_3
WRK_09_FX_RATE_PY
WRK_10_FX_RATE_CY
WRK_11_FX_PL_DATA_SUM
WRK_12_FX_PL_HEADER
REP_01_AMT_DATA
REP_02_FX_PL_ANALYSIS
ERR_01_NO_RATE
ERR_02_FX_PL_NOT_PY
ERR_03_NO_RATE_PY
ERR_04_NO_RATE_CY
ERR_05_JPY_OR_NO_CCY
ERR_06_NO_FX_RATE</t>
        </is>
      </c>
      <c r="G39" s="3" t="n"/>
      <c r="H39" s="3" t="n"/>
      <c r="I39" s="3" t="inlineStr">
        <is>
          <t>REP_01_AMT_DATA
REP_02_FX_PL_ANALYSIS</t>
        </is>
      </c>
    </row>
    <row r="40" hidden="1" ht="230.4" customHeight="1" s="85">
      <c r="A40" s="8" t="n">
        <v>46</v>
      </c>
      <c r="B40" s="8">
        <f>"pkg"&amp;A40</f>
        <v/>
      </c>
      <c r="C40" s="10" t="inlineStr">
        <is>
          <t>売価還元法の原価率分析</t>
        </is>
      </c>
      <c r="D40" s="3" t="inlineStr">
        <is>
          <t>売価還元法の原価率分析
以下の目的に役立てるための分析結果ビジュアルをAudit Analytics分析パッケージの実施により監査チームに提供する。
・売価還元法における原価率を店舗別商品カテゴリ別比較及び前期比較を実施し、傾向から外れた異常な原価率を識別する。</t>
        </is>
      </c>
      <c r="E40" s="3" t="inlineStr">
        <is>
          <t>Exec_Scr_01_Create_WRK_01_COST_RATE_DATA_CY.sql
Exec_Scr_02_Create_WRK_02_COST_RATE_DATA_PY.sql
Exec_Scr_03_Create_WRK_03_SALES_DATA.sql
Exec_Scr_04_Create_WRK_04_STORE_MASTER.sql
Exec_Scr_05_Create_WRK_05_COST_RATE_DATA_DIV.sql
Exec_Scr_06_Create_WRK_06_COST_RATE_DATA_MOVEMENT.sql
Exec_Scr_07_Create_WRK_07_COST_RATE_DATA.sql
Exec_Scr_08_Create_WRK_08_SALES_DATA_MOVEMENT.sql
Exec_Scr_09_Create_REP_01_COST_PERCENTAGE_ANALYSIS.sql</t>
        </is>
      </c>
      <c r="F40" s="3" t="inlineStr">
        <is>
          <t>WRK_01_COST_RATE_DATA_CY
WRK_02_COST_RATE_DATA_PY
WRK_03_SALES_DATA
WRK_04_STORE_MASTER
WRK_05_COST_RATE_DATA_DIV
WRK_06_COST_RATE_DATA_MOVEMENT
WRK_07_COST_RATE_DATA
WRK_08_SALES_DATA_MOVEMENT
REP_01_COST_PERCENTAGE_ANALYSIS
ERR_01_COST_RATE_DATA_CY_NULL
ERR_02_COST_RATE_DATA_PY_NULL
ERR_03_SALES_DATA_NULL
ERR_04_STORE_MASTER_ NULL
ERR_05_COST_RATE_DATA_PY_UNKNOWN
ERR_06_COST_DATA_UNKNOWN
WNG_01_STORE_MASTER_DATE_STRANGE</t>
        </is>
      </c>
      <c r="G40" s="3" t="n"/>
      <c r="H40" s="3" t="n"/>
      <c r="I40" s="3" t="inlineStr">
        <is>
          <t>REP_01_COST_PERCENTAGE_ANALYSIS</t>
        </is>
      </c>
    </row>
    <row r="41" hidden="1" ht="115.2" customHeight="1" s="85">
      <c r="A41" s="8" t="n">
        <v>47</v>
      </c>
      <c r="B41" s="8">
        <f>"pkg"&amp;A41</f>
        <v/>
      </c>
      <c r="C41" s="10" t="inlineStr">
        <is>
          <t>在庫未実現損益調整分析</t>
        </is>
      </c>
      <c r="D41" s="3" t="inlineStr">
        <is>
          <t>在庫未実現損益調整分析
以下の目的に役立てるための分析結果ビジュアルをAudit Analytics分析パッケージの実施により監査チームに提供する。
・連結取引の理解を深める。
・過去の利益率と在庫高を加味した上で、異常な利益率や在庫高を識別し、在庫未実現損益調整に異常がないかを分析する。</t>
        </is>
      </c>
      <c r="E41" s="3" t="inlineStr">
        <is>
          <t>EXEC_Scr_01_Create_WRK_01_TRANSACTIONS.sql
EXEC_Scr_02_Create_WRK_02_COMPANY_MASTER.sql
EXEC_Scr_03_Create_WRK_03_PROCESSED_TRANSACTIONS.sql
EXEC_Scr_04_Create_WRK_04_CALC_TRANSACTIONS.sql
EXEC_Scr_05_Create_REP_UNREALIZED_PROFIT.sql</t>
        </is>
      </c>
      <c r="F41" s="3" t="inlineStr">
        <is>
          <t>WRK_01_TRANSACTIONS
WRK_02_COMPANY_MASTER
WRK_03_PROCESSED_TRANSACTIONS
WRK_04_CALC_TRANSACTIONS
REP_UNREALIZED_PROFIT
ERR_01_PERIOD_CODE_NULL
ERR_02_NULL_VALUE_RECORDS
WNG_COMPANY_MASTER_UNKNOWN</t>
        </is>
      </c>
      <c r="G41" s="3" t="n"/>
      <c r="H41" s="3" t="n"/>
      <c r="I41" s="3" t="inlineStr">
        <is>
          <t>REP_UNREALIZED_PROFIT</t>
        </is>
      </c>
    </row>
    <row r="42" ht="189.75" customHeight="1" s="85">
      <c r="A42" s="8" t="n">
        <v>48</v>
      </c>
      <c r="B42" s="8">
        <f>"pkg"&amp;A42</f>
        <v/>
      </c>
      <c r="C42" s="2" t="inlineStr">
        <is>
          <t>Subsidiary Financial Risk Analysis (5 Year Trend)</t>
        </is>
      </c>
      <c r="D42" s="2" t="inlineStr">
        <is>
          <t>Subsidiary Financial Risk Analysis (5 Year Trend)
The visualizing data file is provided to audit-team for the following purpose.
・Identify risky subsidiaries by analyzing abnormal movement in various financial indicators spanning multiple fiscal years.</t>
        </is>
      </c>
      <c r="E42" s="3" t="inlineStr">
        <is>
          <t>Exec_Scr_01_ImportTBL.sql
Exec_Scr_02_IND_INDEX.sql
Exec_Scr_03_BASE_MERGE.sql
Exec_Scr_04_PIVOT_BASE.sql
Exec_Scr_05_AVG_CATEGORY.sql
Exec_Scr_06_AVG_ALL.sql
Exec_Scr_07_Analysis.sql
Exec_Scr_08_BASE_JOIN.sql
Exec_Scr_09_DIF.sql
Exec_Scr_10_VISUALIZE.sql</t>
        </is>
      </c>
      <c r="F42" s="3" t="inlineStr">
        <is>
          <t>WRK_01_BASE
WRK_02_CORP
WRK_03_INDICATOR
WRK_04_BASE_INDEX
WRK_05_BASE_PIVOT
WRK_06_AVG_CATEGORY
WRK_07_AVG_ALL
WRK_08_ANALYSIS
WRK_09_BASE_JOIN
WRK_10_BASE_DIF
REP_01_IND_INDEX
REP_02_VisualizeBase</t>
        </is>
      </c>
      <c r="G42" s="3" t="n"/>
      <c r="H42" s="3" t="n"/>
      <c r="I42" s="3" t="inlineStr">
        <is>
          <t>REP_01_IND_INDEX
REP_02_VisualizeBase</t>
        </is>
      </c>
    </row>
    <row r="43" hidden="1" ht="259.2" customHeight="1" s="85">
      <c r="A43" s="8" t="n">
        <v>50</v>
      </c>
      <c r="B43" s="8">
        <f>"pkg"&amp;A43</f>
        <v/>
      </c>
      <c r="C43" s="10" t="inlineStr">
        <is>
          <t>予実分析</t>
        </is>
      </c>
      <c r="D43" s="3" t="inlineStr">
        <is>
          <t>予実分析
以下の目的に役立てるための分析結果ビジュアルをAudit Analytics分析パッケージの実施により監査チームに提供する。
・売上の予算と決算直近月実績を比較し、予算達成のための不正な売上や予算達成後の売上翌期繰延の可能性がある部門・商品･得意先を識別する。</t>
        </is>
      </c>
      <c r="E43" s="3" t="inlineStr">
        <is>
          <t>Exec_Scr_01_Create_WRK_01_SALES_DATA.sql
Exec_Scr_02_Create_WRK_02_BUDGET_DATA.sql
Exec_Scr_03_Create_WRK_03_DEPARTMENT_MASTER.sql
Exec_Scr_04_Create_WRK_04_AGGREGATION_UNIT1_MASTER.sql
Exec_Scr_05_Create_WRK_05_AGGREGATION_UNIT2_MASTER.sql
Exec_Scr_06_Create_WRK_06_AGGREGATION_UNIT3_MASTER.sql
Exec_Scr_07_Create_WRK_07_SALES_DATA_MONTHLY.sql
Exec_Scr_08_Create_WRK_08_BUDGET_DATA_MONTHLY.sql
Exec_Scr_09_Create_REP_01_SALES_DATA_AGRREGATION.sql
Exec_Scr_10_Create_REP_02_BUDGET_ANALYSIS.sql</t>
        </is>
      </c>
      <c r="F43" s="3" t="inlineStr">
        <is>
          <t>WRK_01_SALES_DATA
WRK_02_BUDGET_DATA
WRK_03_DEPARTMENT_MASTER
WRK_04_AGGREGATION_UNIT1_MASTER
WRK_05_AGGREGATION_UNIT2_MASTER
WRK_06_AGGREGATION_UNIT3_MASTER
WRK_07_SALES_DATA_MONTHLY
WRK_08_BUDGET_DATA_MONTHLY
WRK_09_BUDGET_DATA_MONTHLY_COMPLETED
REP_01_SALES_DATA_AGGREGATION
REP_02_BUDGET_ANALYSIS
ERR_01_SALES_DATA_NULL
ERR_02_BUDGET_DATA_NULL
ERR_03_DEPARMENT_MASTER_ NULL
ERR_04_AGGREGATION_UNIT1_MASTER_NULL
ERR_05_AGGREGATION_UNIT1_MASTER_NULL
ERR_06_AGGREGATION_UNIT3_MASTER_NULL
ERR_07_NO_SALES_DATA</t>
        </is>
      </c>
      <c r="G43" s="3" t="n"/>
      <c r="H43" s="3" t="n"/>
      <c r="I43" s="3" t="inlineStr">
        <is>
          <t>REP_01_SALES_DATA_AGGREGATION
REP_02_BUDGET_ANALYSIS</t>
        </is>
      </c>
    </row>
    <row r="44" hidden="1" ht="158.4" customHeight="1" s="85">
      <c r="A44" s="8" t="n">
        <v>53</v>
      </c>
      <c r="B44" s="8">
        <f>"pkg"&amp;A44</f>
        <v/>
      </c>
      <c r="C44" s="10" t="inlineStr">
        <is>
          <t>取引先リベート変動分析</t>
        </is>
      </c>
      <c r="D44" s="3" t="inlineStr">
        <is>
          <t>取引先リベート変動分析
以下の目的に役立てるための分析結果ビジュアルをAudit Analytics分析パッケージの実施により監査チームに提供する。
・不正リスクが高い取引を含む可能性がある支払・受取リベートを識別する。</t>
        </is>
      </c>
      <c r="E44" s="3" t="inlineStr">
        <is>
          <t>Exec_Src_01_Create_WRK_01_TRANSACTION.sql
Exec_Src_02_Create_WRK_02_REBATE.sql
Exec_Src_03_Create_WRK_03_CP_MST.sql
Exec_Src_04_SUM_TRANSACTION.sql
Exec_Src_05_SUM_REBATE.sql
Exec_Src_06_Create_REP_01_TABSOURCE.sql
Exec_Src_07_Create_WNG_NO_CP_MST.sql</t>
        </is>
      </c>
      <c r="F44" s="3" t="inlineStr">
        <is>
          <t>WRK_01_TRANSACTION
WRK_02_REBATE
WRK_03_CP_MST
WRK_04_TRANSACTIONSUM
WRK_05_REBATESUM
REP_01_TABSOURCE
ERR_01_CP_MST
ERR_02_FY_TRANSACTION
ERR_03_FY_REBATE
WNG_01_TRANSACTIONSUM_NO_CP_MST
WNG_02_REBATESUM_NO_CP_MST</t>
        </is>
      </c>
      <c r="G44" s="3" t="n"/>
      <c r="H44" s="3" t="n"/>
      <c r="I44" s="3" t="inlineStr">
        <is>
          <t>REP_01_TABSOURCE</t>
        </is>
      </c>
    </row>
    <row r="45" hidden="1" ht="278.25" customHeight="1" s="85">
      <c r="A45" s="8" t="n">
        <v>54</v>
      </c>
      <c r="B45" s="8">
        <f>"pkg"&amp;A45</f>
        <v/>
      </c>
      <c r="C45" s="10" t="inlineStr">
        <is>
          <t>売上高時系列分析</t>
        </is>
      </c>
      <c r="D45" s="3" t="inlineStr">
        <is>
          <t>売上高時系列分析
以下の目的に役立てるための分析結果ビジュアルをAudit Analytics分析パッケージの実施により監査チームに提供する。
・曜日別・日別で売上高や粗利率を把握することで、事業又は取引区分毎の売上に関する理解を深める。
・月次売上の予算達成状況と月次売上推移を確認することで、予算達成のための架空売上リスクや押込販売リスクのある売上区分を識別する。また、これら月次売上について、曜日別・日次レベルでブレイクダウンすることによりリスクの高い売上を効率的に絞り込む。
・カットオフエラーの兆候を示す取引を効率的に識別する。</t>
        </is>
      </c>
      <c r="E45" s="3" t="inlineStr">
        <is>
          <t>EXEC_Scr_01_Create_WRK_01_TRANSACTION.sql
EXEC_Scr_02_Create_WRK_02_UNIT_MST.sql
EXEC_Scr_03_Create_REP_01_TABSOURCE.sql</t>
        </is>
      </c>
      <c r="F45" s="3" t="inlineStr">
        <is>
          <t>WRK_01_TRANSACTION
WRK_02_UNIT_MST
REP_01_TABSOURCE
ERR_01_UNIT_MST</t>
        </is>
      </c>
      <c r="G45" s="3" t="n"/>
      <c r="H45" s="3" t="n"/>
      <c r="I45" s="3" t="inlineStr">
        <is>
          <t>REP_01_TABSOURCE</t>
        </is>
      </c>
    </row>
    <row r="46" hidden="1" ht="302.4" customHeight="1" s="85">
      <c r="A46" s="8" t="n">
        <v>55</v>
      </c>
      <c r="B46" s="8">
        <f>"pkg"&amp;A46</f>
        <v/>
      </c>
      <c r="C46" s="10" t="inlineStr">
        <is>
          <t>単価分析</t>
        </is>
      </c>
      <c r="D46" s="3" t="inlineStr">
        <is>
          <t>単価分析
以下の目的に役立てるための分析結果ビジュアルをAudit Analytics分析パッケージの実施により監査チームに提供する。
・商品別、得意先別に単価変化率を全体傾向を把握し、それから一定以上乖離のあるものについて詳細にブレイクダウンすることで、不適切な販売単価の使用リスクが高い商品・得意先・取引等を識別する。</t>
        </is>
      </c>
      <c r="E46" s="3" t="inlineStr">
        <is>
          <t>EXEC_Scr_01_Create_WRK_01_SALES_DATA_PY.sql
EXEC_Scr_02_Create_WRK_02_SALES_DATA_CY.sql
EXEC_Scr_03_Create_WRK_03_PRODUCT_MASTER.sql
EXEC_Scr_04_Create_WRK_04_CUSTOMER_MASTER.sql
EXEC_Scr_05_CALCULATE_AVG_UNIT_PRICE_PER_PRODUCT_CUSTOMER.sql
EXEC_Scr_06_CALCULATE_AVG_UNIT_PRICE_PER_PRODUCT.sql
EXEC_Scr_07_CALCULATE_AVG_UNIT_PRICE_PER_PRODUCT_CATEGORY.sql
EXEC_Scr_08_Create_REP_01_AVG_UNIT_PRICE_ANALYSIS.sql</t>
        </is>
      </c>
      <c r="F46" s="3" t="inlineStr">
        <is>
          <t>WRK_01_SALES_DATA_PY
WRK_02_SALES_DATA_CY
WRK_03_PRODUCT_MASTER
WRK_04_CUSTOMER_MASTER
WRK_05_SALES_DATA_PY_PER_PRODUCT_CUSTOMER
WRK_06_SALES_DATA_CY_PER_PRODUCT_CUSTOMER
WRK_08_AVG_UNIT_PRICE_PER_PRODUCT_CUSTOMER
WRK_09_AVG_UNIT_PRICE_PER_PRODUCT
WRK_10_AVG_UNIT_PRICE_PER_PRODUCT_CATEGORY1
WRK_11_AVG_UNIT_PRICE_PER_PRODUCT_CATEGORY2
WRK_12_AVG_UNIT_PRICE_PER_PRODUCT_CATEGORY3
REP_01_AVG_UNIT_PRICE_ANALYSIS
ERR_01_SALES_DATA_PY_NULL
ERR_02_SALES_DATA_CY_NULL
ERR_03_PRODUCT_MASTER_NULL
ERR_04_CUSTOMER_MASTER_NULL
ERR_05_SALES_UNDER_ZERO_DATA</t>
        </is>
      </c>
      <c r="G46" s="3" t="inlineStr">
        <is>
          <t>(REP_01_AVG_UNIT_PRICE_ANALYSIS)
SALES_AMOUNT
SALES_VOLUME</t>
        </is>
      </c>
      <c r="H46" s="3" t="inlineStr">
        <is>
          <t>・REP_01_AVG_UNIT_PRICE_ANALYSIS、ERR_05_SALES_UNDER_ZERO_DATAの各数値項目の合計が、WRK_01_SALES_DATA_PY、WRK_02_SALES_DATA_CYにマッピングしたデータのそれら合計と一致していることを確認した。
・下記テーブルにレコードが出力されていないことを確認した。
　・ERR_01_SALES_DATA_PY_NULL
　・ERR_02_SALES_DATA_CY_NULL
　・ERR_03_PRODUCT_MASTER_NULL
　・ERR_04_CUSTOMER_MASTER_NULL</t>
        </is>
      </c>
      <c r="I46" s="3" t="inlineStr">
        <is>
          <t>REP_01_AVG_UNIT_PRICE_ANALYSIS</t>
        </is>
      </c>
    </row>
    <row r="47" hidden="1" ht="133.5" customHeight="1" s="85">
      <c r="A47" s="8" t="n">
        <v>56</v>
      </c>
      <c r="B47" s="8">
        <f>"pkg"&amp;A47</f>
        <v/>
      </c>
      <c r="C47" s="10" t="inlineStr">
        <is>
          <t>複数指標を用いた店舗別リスクスコア分析</t>
        </is>
      </c>
      <c r="D47" s="3" t="inlineStr">
        <is>
          <t>複数指標を用いた店舗別リスクスコア分析
以下の目的に役立てるための分析結果ビジュアルをAudit Analytics分析パッケージの実施により監査チームに提供する。
・店舗全体の理解を前提に、個別具体的なリスクに対し複数視点から定量的に評価を実施する。</t>
        </is>
      </c>
      <c r="E47" s="3" t="inlineStr">
        <is>
          <t>NA</t>
        </is>
      </c>
      <c r="F47" s="3" t="inlineStr">
        <is>
          <t>NA</t>
        </is>
      </c>
      <c r="G47" s="3" t="n"/>
      <c r="H47" s="3" t="n"/>
      <c r="I47" s="3" t="inlineStr">
        <is>
          <t>NA</t>
        </is>
      </c>
    </row>
    <row r="48" hidden="1" ht="86.40000000000001" customHeight="1" s="85">
      <c r="A48" s="8" t="n">
        <v>52</v>
      </c>
      <c r="B48" s="8">
        <f>"pkg"&amp;A48</f>
        <v/>
      </c>
      <c r="C48" s="10" t="inlineStr">
        <is>
          <t>外部データを用いた売上高分析（自動車部品サプライヤー）</t>
        </is>
      </c>
      <c r="D48" s="3" t="inlineStr">
        <is>
          <t>複数指標を用いた店舗別リスクスコア分析
以下の目的に役立てるための分析結果ビジュアルをAudit Analytics分析パッケージの実施により監査チームに提供する。
・外部生産台数に照らし、異常な売上推移となっていないか確認するとともに、分析を通じクライアントの置かれている企業環境を理解する。</t>
        </is>
      </c>
      <c r="E48" s="3" t="inlineStr">
        <is>
          <t>Exec_Scr_01_Create_WRK_01_SALES_DATA.sql
Exec_Scr_02_Create_REP_01_VEHICLES_DATA.sql
Exec_Scr_03_Create_WRK_02_VEHICLES_MASTER.sql
Exec_Scr_04_Create_WRK_03_MATCH_SALES_DATA.sql
Exec_Scr_05_Create_REP_02_VEHICLES_DATA.sql</t>
        </is>
      </c>
      <c r="F48" s="3" t="inlineStr">
        <is>
          <t>WRK_01_SALES_DATA
WRK_02_VEHICLES_MASTER
WRK_03_MATCH_SALES_DATA
REP_01_VEHICLES_DATA
REP_02_MATCH_VEHICLES_DATA</t>
        </is>
      </c>
      <c r="G48" s="3" t="n"/>
      <c r="H48" s="3" t="n"/>
      <c r="I48" s="3" t="inlineStr">
        <is>
          <t>REP_01_VEHICLES_DATA
REP_02_MATCH_VEHICLES_DATA</t>
        </is>
      </c>
    </row>
    <row r="49" hidden="1" ht="129.6" customHeight="1" s="85">
      <c r="A49" s="8" t="n">
        <v>57</v>
      </c>
      <c r="B49" s="8">
        <f>"pkg"&amp;A49</f>
        <v/>
      </c>
      <c r="C49" s="10" t="inlineStr">
        <is>
          <t>経営者の偏向分析</t>
        </is>
      </c>
      <c r="D49" s="3" t="inlineStr">
        <is>
          <t>経営者の偏向分析
以下の目的に役立てるための分析結果ビジュアルをAudit Analytics分析パッケージの実施により監査チームに提供する。
・会計上の見積りに経営者の偏向が存在する兆候を識別する。</t>
        </is>
      </c>
      <c r="E49" s="3" t="inlineStr">
        <is>
          <t>Exec_Scr_01_Create_WRK_01_BASE_DATA_CY.sql
Exec_Scr_02_Create_WRK_02_BASE_DATA_PY.sql
Exec_Scr_03_Create_WRK_03_COMPANY_MASTER.sql
Exec_Scr_04_Create_WRK_04_ACCOUNT_MASTER.sql
Exec_Scr_05_Create_WRK_05_BASE_DATA.sql
Exec_Scr_06_Create_REP_01_BASE_DATA.sql</t>
        </is>
      </c>
      <c r="F49" s="3" t="inlineStr">
        <is>
          <t>WRK_01_BASE_DATA_CY
WRK_02_BASE_DATA_PY
WRK_03_COMPANY_MASTER
WRK_04_ACCOUNT_MASTER
WRK_05_BASE_DATA
REP_01_BASE_DATA
ERR_01_ERROR_DC
WNG_01_COMPANY_MASTER_UNKNOWN
WNG_02_ACCOUNT_MASTER_UNKNOWN</t>
        </is>
      </c>
      <c r="G49" s="3" t="n"/>
      <c r="H49" s="3" t="n"/>
      <c r="I49" s="3" t="inlineStr">
        <is>
          <t>REP_01_BASE_DATA</t>
        </is>
      </c>
    </row>
    <row r="50" hidden="1" ht="187.2" customHeight="1" s="85">
      <c r="A50" s="8" t="n">
        <v>59</v>
      </c>
      <c r="B50" s="8">
        <f>"pkg"&amp;A50</f>
        <v/>
      </c>
      <c r="C50" s="10" t="inlineStr">
        <is>
          <t>商流別単価・粗利率分析_</t>
        </is>
      </c>
      <c r="D50" s="3" t="inlineStr">
        <is>
          <t>商流別単価・粗利率分析
以下の目的に役立てるための分析結果ビジュアルをAudit Analytics分析パッケージの実施により監査チームに提供する。
・商流別に単価の増減（前期比）・粗利率を把握することで、単価が前期より高く、粗利率が類似商流より低いといった循環取引の兆候がある取引を識別する</t>
        </is>
      </c>
      <c r="E50" s="3" t="inlineStr">
        <is>
          <t>Exec_Scr_01_Create_WRK_01_Sales_Data.sql
Exec_Scr_02_Create_WRK_02_Division_Master.sql
Exec_Scr_03_Create_WRK_03_Product_Master.sql
Exec_Scr_04_Create_WRK_04_Profit_Rate_by_Division.sql
Exec_Scr_05_Create_WRK_05_Profit_Rate_Unit_Price_by_Product.sql
Exec_Scr_06_Create_WRK_06_Attribute_Master.sql
Exec_Scr_07_Create_WRK_07_Attribute_Division.sql
Exec_Scr_08_Create_WRK_08_Attribute_Product.sql
Exec_Scr_09_Create_REP_Price_Profit_Analysis_by_channels.sql</t>
        </is>
      </c>
      <c r="F50" s="3" t="inlineStr">
        <is>
          <t>WRK_01_Sales_Data
WRK_02_Division_Master
WRK_03_Product_Master
WRK_04_Profit_Rate_by_Division
WRK_05_Profit_Rate_Unit_Price_by_Product
WRK_06_Attribute_Master
WRK_07_Attribute_Division
WRK_08_Attribute_Product
REP_Price_Profit_Analysis_by_channels
ERR_01_Sales_Data_NULL
ERR_03_Division_Master_NULL
ERR_04_Product_Master_NULL
WNG_01_Mapping_Error</t>
        </is>
      </c>
      <c r="G50" s="3" t="n"/>
      <c r="H50" s="3" t="n"/>
      <c r="I50" s="3" t="inlineStr">
        <is>
          <t>REP_Price_Profit_Analysis_by_channels</t>
        </is>
      </c>
    </row>
    <row r="51" hidden="1" ht="158.4" customHeight="1" s="85">
      <c r="A51" s="8" t="n">
        <v>58</v>
      </c>
      <c r="B51" s="8">
        <f>"pkg"&amp;A51</f>
        <v/>
      </c>
      <c r="C51" s="10" t="inlineStr">
        <is>
          <t>仕入単価上昇分析</t>
        </is>
      </c>
      <c r="D51" s="3" t="inlineStr">
        <is>
          <t>仕入単価上昇分析
以下の目的に役立てるための分析結果ビジュアルをAudit Analytics分析パッケージの実施により監査チームに提供する。
・個別の商品の仕入単価に着目し、仕入単価が上昇傾向にあるものや不自然な単価変動を繰り返す商品を識別することで、循環取引が行われている可能性のある商品を抽出する</t>
        </is>
      </c>
      <c r="E51" s="3" t="inlineStr">
        <is>
          <t>Scr_000_Import_Profile
Scr_010_Create_WRK_010_PURCHASE_DATA
Scr_020_Create_WRK_020_SALES_DATA
Scr_030_Create_WRK_030_Item_Master
Scr_040_Create_WRK_040_Branch_Master
Scr_050_Create_WRK_050_Item_Master
Scr_060_Create_WRK_060_PURCHASE_DATA_SUM
Scr_070_Create_WRK_070_SALES_DATA_SUM
Scr_080_Create_WRK_080_PURCHASE_DATA_SPIKE_ADD
Scr_090_Create_REP_SALESDATAANALYSIS
Scr_100_Export</t>
        </is>
      </c>
      <c r="F51" s="3" t="inlineStr">
        <is>
          <t>WRK_010_PURCHASE_DATA
WRK_020_SALES_DATA
WRK_030_ITEM_MASTER
WRK_040_BRANCH_MASTER
WRK_050_EMPLOYEE_MASTER
WRK_060_PURCHASE_DATA_SUM
WRK_070_SALES_DATA_SUM
WRK_080_PURCHASE_DATA_SPIKE_ADD
REP_SALESDATAANALYSIS
WNG_Price_Miss_OR_DivZ</t>
        </is>
      </c>
      <c r="G51" s="3" t="inlineStr">
        <is>
          <t>(WRK_020_SALES_DATA)
SalesAmount
(REP_SALESDATAANALYSIS)
PurchaseVolume_Total
PurchaseAmount_Total</t>
        </is>
      </c>
      <c r="H51" s="3" t="inlineStr">
        <is>
          <t>・WRK_020_SALES_DATA の SalesAmount と、それにマッピングしたデータ項目の合計値が一致していることを確認した。
・REP_SALESDATAANALYSIS の各数値項目と、WRK_010_PURCHASE_DATAにマッピングしたデータのそれらの合計値が一致していることを確認した。
・下記テーブルにレコードが出力されていないことを確認した。
　・WNG_Price_Miss_OR_DivZ</t>
        </is>
      </c>
      <c r="I51" s="3" t="inlineStr">
        <is>
          <t>REP_SALESDATAANALYSIS</t>
        </is>
      </c>
    </row>
    <row r="52" hidden="1" ht="345.6" customHeight="1" s="85">
      <c r="A52" s="8" t="n">
        <v>60</v>
      </c>
      <c r="B52" s="8">
        <f>"pkg"&amp;A52</f>
        <v/>
      </c>
      <c r="C52" s="10" t="inlineStr">
        <is>
          <t>仕訳T勘定分析</t>
        </is>
      </c>
      <c r="D52" s="3" t="inlineStr">
        <is>
          <t>仕訳T勘定分析
以下の目的に役立てるための分析結果ビジュアルをAudit Analytics分析パッケージの実施により監査チームに提供する。
・全データを対象に、全勘定科目の仕訳パターンを正確かつ容易に把握することで、網羅性の担保されたリスク識別を行う</t>
        </is>
      </c>
      <c r="E52" s="3" t="inlineStr">
        <is>
          <t>Exec_Scr_01_Create_WRK_ACCOUNT_MASTER.sql
Exec_Scr_02_Create_WRK_JOURNAL_ENTRY.sql
Exec_Scr_03_Create_WRK_JOURNAL_ENTRY_ACCOUNT.sql
Exec_Scr_04_Create_WRK_JE_TGT_ACCOUNT_SUM_DRCR.sql
Exec_Scr_05_Create_WRK_JE_SUM_COUNT_COMBINATION_DRCR.sql
Exec_Scr_06_Create_WRK_JE_COMBINATION_TYPE123.sql
Exec_Scr_07_Create_WRK_JE_COMBINATION_TYPE4.sql
Exec_Scr_08_Create_REP_01_T_ACCOUNT_ANALYSIS.sql
Exec_Scr_09_Create_REP_02_ALL_DATA_EXCLUDE_DATA_COUNT.sql
Exec_Scr_10_Create_REP_03_ANALYSIS_DATA_COUNT.sql
Exec_Scr_11_Create_REP_04_N_TO_N_ACCOUNT_LIST.sql</t>
        </is>
      </c>
      <c r="F52" s="3" t="inlineStr">
        <is>
          <t xml:space="preserve">WRK_01_ACCOUNT_MASTER
WRK_02_ACCOUNT_MASTER_CD_NM
WRK_03_JOURNAL_ENTRY
WRK_04_JOURNAL_ENTRY_ACCOUNT
WRK_05_JE_TGT_ACCOUNT_SUM_DR
WRK_06_JE_TGT_ACCOUNT_SUM_CR
WRK_07_EXCLUDE_OFFSET
WRK_08_ACCOUNT_COUNT_COMBINATION
WRK_09_JE_SUM_COUNT_COMBINATION_DR
WRK_10_JE_SUM_COUNT_COMBINATION_CR
WRK_11_JE_COMBINATION_TYPE123
WRK_12_JE_COMBINATION_TYPE4
REP_01_T_ACCOUNT_ANALYSIS
REP_02_ALL_DATA_EXCLUDE_DATA_COUNT
REP_03_ANALYSIS_DATA__COUNT
REP_04_N_TO_N_ACCOUNT_LIST
ERR_01_NOT_UNIQUE_ACCOUNT_CATEGORY_3
ERR_02_INVALID_DR_CR_KIND
ERR_03_NO_ACCOUNT_MASTER
ERR_04_AMOUNT_SIGN_ERROR
ERR_05_INCONSISTANT_DRCR
ERR_06_INCONSISTANT_MANUAL_FLG
ERR_07_ZERO_AMOUNT_VALUE
</t>
        </is>
      </c>
      <c r="G52" s="3" t="n"/>
      <c r="H52" s="3" t="n"/>
      <c r="I52" s="3" t="inlineStr">
        <is>
          <t>REP_01_T_ACCOUNT_ANALYSIS
REP_02_ALL_DATA_EXCLUDE_DATA_COUNT
REP_03_ANALYSIS_DATA__COUNT
REP_04_N_TO_N_ACCOUNT_LIST</t>
        </is>
      </c>
    </row>
  </sheetData>
  <autoFilter ref="A1:I52">
    <filterColumn colId="1" hiddenButton="0" showButton="1">
      <filters>
        <filter val="pkg48"/>
      </filters>
    </filterColumn>
  </autoFilter>
  <printOptions gridLines="1" gridLinesSet="0"/>
  <pageMargins left="0.25" right="0.25" top="0.75" bottom="0.75" header="0.3" footer="0.3"/>
  <pageSetup orientation="portrait" paperSize="9" scale="25" fitToHeight="0" horizont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description xmlns:dc="http://purl.org/dc/elements/1.1/">{"eng": {"analytics_exceptions": [{"category": "Revenue Test", "count": "11", "explanation": "Compared payroll disbursement records against onboarding files to flag instances where salaries were processed for employees prior to their official date of joining.", "id": "exc_1780849734583_6w5ha", "name": "Payroll processed for an employee though joining date is after the cut off date"}, {"category": "Revenue Test", "count": "323", "explanation": "Evaluated projected annual earnings against statutory income tax slabs to identify employees whose taxable salaries are not subjected to monthly TDS deductions.", "id": "exc_1780849734748_ygzha", "name": "No TDS amount though it is likely to be applicable based on current salary structure"}, {"category": "Revenue Test", "count": "116", "explanation": "Extracted active employee listings and payroll disbursements where the mandatory Employee Code field is blank, presenting high internal control vulnerabilities.", "id": "exc_1780849734917_a427l", "name": "Employees having no employee code"}, {"category": "Revenue Test", "count": "23320", "explanation": "Analyzed payroll bank details to identify matching bank account numbers shared across different employee profiles, representing a primary indicator of ghost employee fraud.", "id": "exc_1780849735083_y7c4e", "name": "Bank Account numbers are repetitive"}, {"category": "Revenue Test", "count": "320", "explanation": "Identified active employee profiles lacking cost center or department attributes in the HR master, hindering payroll cost allocation.", "id": "exc_1780849735249_qp9ai", "name": "Employee IDs whose Employee department is blank"}, {"category": "Revenue Test", "count": "330", "explanation": "Scanned active employee databases to flag missing designation details, compromising grading structure controls.", "id": "exc_1780849735332_s5380", "name": "Employee IDs where Employee designation is blank"}, {"category": "Revenue Test", "count": "3220", "explanation": "Performed deduplication audits on the payroll master to identify duplicate active records under a single employee ID.", "id": "exc_1780849735416_nrozx", "name": "Employees with duplicate employee IDs"}, {"category": "Revenue Test", "count": "2227", "explanation": "Recalculated individual net pays by subtracting recorded deductions from gross pay and matched results with reported net pay to isolate accounting calculation errors.", "id": "exc_1780849735499_jlepn", "name": "Instances where Gross Pay less Total deductions is not equal to net pay"}, {"category": "Revenue Test", "count": "3429", "explanation": "Recalculated paid days using the formula (Calendar Days - Loss of Pay Days) and cross-checked against actual paid days to flag paid day inflation or leakages.", "id": "exc_1780849735589_otyk3", "name": "Employee IDs where total days in a month less than LOP is not equal to number of days for which salary is paid for"}, {"category": "Revenue Test", "count": "439", "explanation": "Recalculated Provident Fund contributions based on 12% of basic salary (or capped at the statutory INR 15,000 cap) and identified variances in actual deductions.", "id": "exc_1780849735673_3yggt", "name": "Employee IDs where PF as % of Basic or on Rs. 15,000 is not equal to 12%"}, {"category": "Revenue Test", "count": "441", "explanation": "Compared the total months/days of salary processed against the actual active tenure of employees (from date of join/exit) to flag unauthorized compensation.", "id": "exc_1780849735756_li6jl", "name": "Employee IDs where salary paid is for a period different from the total tenure of that employee during the year"}, {"category": "Revenue Test", "count": "317", "explanation": "Computed employee service duration based on joining/exit dates and compared it to cumulative months of salary disbursed during the fiscal year to isolate discrepancies.", "id": "exc_1780849735839_7lppj", "name": "Difference between months he has been for and months he should have been for"}, {"category": "Revenue Test", "count": "0", "explanation": "Validated employee PAN and Aadhaar records against standard statutory structural formats to detect invalid, placeholder, or structurally flawed identification documents.", "id": "exc_1780849735923_yfcn7", "name": "Employee IDs where PAN and/ or AADHAR Structure is not accurate (First 5 digit Alphabet (4th Digit-\"P\"), Next 4 digit Numbers and Last digit Alphabet) Total-10"}, {"category": "Revenue Test", "count": 0, "explanation": "Identified employee master records where the same PAN number is associated with more than one employee ID, signaling potential identity sharing or duplicate payroll records.", "id": "exc_1780849736009_lsmkx", "name": "Employee IDs having same PAN"}, {"category": "Revenue Test", "count": 0, "explanation": "Filtered monthly payroll dumps to isolate employees with negative net pay balances, indicating excess deductions, recovery errors, or incorrect salary reversals.", "id": "exc_1780849736097_dabjf", "name": "Employee IDs where net pay is negative"}, {"category": "Revenue Test", "count": 0, "explanation": "Scanned active payroll master databases to isolate records lacking payment bank account configurations, exposing transactions to untrackable cash or manual payment risks.", "id": "exc_1780849736187_ps9gv", "name": "Employee IDs not having bank account numbers"}, {"category": "Revenue Test", "count": 0, "explanation": "Tracked mid-year promotional and classification records to ensure employee profiles updating multiple designations are backed by authorized promotional logs.", "id": "exc_1780849736273_ct60p", "name": "Employee IDs with more than one designation in a year"}], "attendees": [{"id": "reviewer_1780837161703", "name": "Darshil Maru", "participated": "No", "position": "Analytics Team", "type": "reviewer"}, {"id": "preparer_0_1780837167226", "name": "Aayush Upadhyay", "participated": "No", "position": "Analytics Team", "type": "preparer"}, {"id": "preparer_1_1780837170439", "name": "Vaishnavi", "participated": "Yes", "position": "Analytics Team", "type": "preparer"}], "client_name": "Deloitte India Limited", "end_date": "", "et_location": "", "et_name": "", "first_meeting_date": "2026-06-09", "granular_discussion_date": "2026-06-09", "memo_type": "analytics", "preparer_name": "Aayush Upadhyay, Vaishnavi", "preparers": ["Aayush Upadhyay", "Vaishnavi"], "request_name": "Deloitte India Limited", "request_number": "", "reviewer_name": "Darshil Maru", "start_date": "", "time_logs": [{"contents": "Time spent on package analysis", "hours": "12", "id": "ts_reviewer_1780837161703", "name": "Darshil Maru", "type": "reviewer"}, {"contents": "Time spent on package analysis", "hours": "43", "id": "ts_preparer_0_1780837167227", "name": "Aayush Upadhyay", "type": "preparer"}, {"contents": "Time spent on package analysis", "hours": "12", "id": "ts_preparer_1_1780837170440", "name": "Vaishnavi", "type": "preparer"}], "wbs_code": "", "year_end_date": "", "approver_name": "NA no observations noted", "approve_date": "NA"}, "data": {"cortex_file_name": "", "cx_num": "", "cx_unit": "MB", "je_file_names": [], "je_num": "", "je_unit": "MB"}, "data_raw": {"je_num": "", "je_unit": "MB", "cx_num": "", "cx_unit": "MB", "je_file_names": [], "cortex_file_name": ""}, "map_sel": [], "map_val": {"account_number": "account_number", "credit_amount_ec": "credit_amount_ec", "credit_amount_gc": "credit_amount_gc", "credit_amount_oc": "credit_amount_oc", "date_effective": "date_effective", "date_posted": "date_posted", "debit_amount_ec": "debit_amount_ec", "debit_amount_gc": "debit_amount_gc", "debit_amount_oc": "debit_amount_oc", "entity_currency_ec": "entity_currency_ec", "entity_id": "entity_id", "fiscal_period": "fiscal_period", "fiscal_year": "fiscal_year", "group_currency_gc": "group_currency_gc", "is_standard": "is_standard", "journal_header_description": "journal_header_description", "journal_line_description": "journal_line_description", "journal_line_number": "journal_line_number", "journal_number": "journal_number", "net_amount_ec": "net_amount_ec", "net_amount_gc": "net_amount_gc", "net_amount_oc": "net_amount_oc", "original_currency_oc": "original_currency_oc", "time_posted": "time_posted", "transaction_type": "transaction_type", "user_name_approved": "user_name_approved", "user_name_entered": "user_name_entered", "userid_approved": "userid_approved", "userid_entered": "userid_entered"}, "exc_sel": [], "analytics_exc": [{"category": "Revenue Test", "count": "11", "explanation": "Compared payroll disbursement records against onboarding files to flag instances where salaries were processed for employees prior to their official date of joining.", "id": "exc_1780849734583_6w5ha", "name": "Payroll processed for an employee though joining date is after the cut off date"}, {"category": "Revenue Test", "count": "323", "explanation": "Evaluated projected annual earnings against statutory income tax slabs to identify employees whose taxable salaries are not subjected to monthly TDS deductions.", "id": "exc_1780849734748_ygzha", "name": "No TDS amount though it is likely to be applicable based on current salary structure"}, {"category": "Revenue Test", "count": "116", "explanation": "Extracted active employee listings and payroll disbursements where the mandatory Employee Code field is blank, presenting high internal control vulnerabilities.", "id": "exc_1780849734917_a427l", "name": "Employees having no employee code"}, {"category": "Revenue Test", "count": "23320", "explanation": "Analyzed payroll bank details to identify matching bank account numbers shared across different employee profiles, representing a primary indicator of ghost employee fraud.", "id": "exc_1780849735083_y7c4e", "name": "Bank Account numbers are repetitive"}, {"category": "Revenue Test", "count": "320", "explanation": "Identified active employee profiles lacking cost center or department attributes in the HR master, hindering payroll cost allocation.", "id": "exc_1780849735249_qp9ai", "name": "Employee IDs whose Employee department is blank"}, {"category": "Revenue Test", "count": "330", "explanation": "Scanned active employee databases to flag missing designation details, compromising grading structure controls.", "id": "exc_1780849735332_s5380", "name": "Employee IDs where Employee designation is blank"}, {"category": "Revenue Test", "count": "3220", "explanation": "Performed deduplication audits on the payroll master to identify duplicate active records under a single employee ID.", "id": "exc_1780849735416_nrozx", "name": "Employees with duplicate employee IDs"}, {"category": "Revenue Test", "count": "2227", "explanation": "Recalculated individual net pays by subtracting recorded deductions from gross pay and matched results with reported net pay to isolate accounting calculation errors.", "id": "exc_1780849735499_jlepn", "name": "Instances where Gross Pay less Total deductions is not equal to net pay"}, {"category": "Revenue Test", "count": "3429", "explanation": "Recalculated paid days using the formula (Calendar Days - Loss of Pay Days) and cross-checked against actual paid days to flag paid day inflation or leakages.", "id": "exc_1780849735589_otyk3", "name": "Employee IDs where total days in a month less than LOP is not equal to number of days for which salary is paid for"}, {"category": "Revenue Test", "count": "439", "explanation": "Recalculated Provident Fund contributions based on 12% of basic salary (or capped at the statutory INR 15,000 cap) and identified variances in actual deductions.", "id": "exc_1780849735673_3yggt", "name": "Employee IDs where PF as % of Basic or on Rs. 15,000 is not equal to 12%"}, {"category": "Revenue Test", "count": "441", "explanation": "Compared the total months/days of salary processed against the actual active tenure of employees (from date of join/exit) to flag unauthorized compensation.", "id": "exc_1780849735756_li6jl", "name": "Employee IDs where salary paid is for a period different from the total tenure of that employee during the year"}, {"category": "Revenue Test", "count": "317", "explanation": "Computed employee service duration based on joining/exit dates and compared it to cumulative months of salary disbursed during the fiscal year to isolate discrepancies.", "id": "exc_1780849735839_7lppj", "name": "Difference between months he has been for and months he should have been for"}, {"category": "Revenue Test", "count": "0", "explanation": "Validated employee PAN and Aadhaar records against standard statutory structural formats to detect invalid, placeholder, or structurally flawed identification documents.", "id": "exc_1780849735923_yfcn7", "name": "Employee IDs where PAN and/ or AADHAR Structure is not accurate (First 5 digit Alphabet (4th Digit-\"P\"), Next 4 digit Numbers and Last digit Alphabet) Total-10"}, {"category": "Revenue Test", "count": 0, "explanation": "Identified employee master records where the same PAN number is associated with more than one employee ID, signaling potential identity sharing or duplicate payroll records.", "id": "exc_1780849736009_lsmkx", "name": "Employee IDs having same PAN"}, {"category": "Revenue Test", "count": 0, "explanation": "Filtered monthly payroll dumps to isolate employees with negative net pay balances, indicating excess deductions, recovery errors, or incorrect salary reversals.", "id": "exc_1780849736097_dabjf", "name": "Employee IDs where net pay is negative"}, {"category": "Revenue Test", "count": 0, "explanation": "Scanned active payroll master databases to isolate records lacking payment bank account configurations, exposing transactions to untrackable cash or manual payment risks.", "id": "exc_1780849736187_ps9gv", "name": "Employee IDs not having bank account numbers"}, {"category": "Revenue Test", "count": 0, "explanation": "Tracked mid-year promotional and classification records to ensure employee profiles updating multiple designations are backed by authorized promotional logs.", "id": "exc_1780849736273_ct60p", "name": "Employee IDs with more than one designation in a year"}]}</dc:description>
  <dcterms:created xmlns:dcterms="http://purl.org/dc/terms/" xmlns:xsi="http://www.w3.org/2001/XMLSchema-instance" xsi:type="dcterms:W3CDTF">2017-10-18T10:14:35Z</dcterms:created>
  <dcterms:modified xmlns:dcterms="http://purl.org/dc/terms/" xmlns:xsi="http://www.w3.org/2001/XMLSchema-instance" xsi:type="dcterms:W3CDTF">2026-06-07T16:31:41Z</dcterms:modified>
</cp:coreProperties>
</file>

<file path=docProps/custom.xml><?xml version="1.0" encoding="utf-8"?>
<Properties xmlns="http://schemas.openxmlformats.org/officeDocument/2006/custom-properties">
  <property name="MSIP_Label_ea60d57e-af5b-4752-ac57-3e4f28ca11dc_Enabled" fmtid="{D5CDD505-2E9C-101B-9397-08002B2CF9AE}" pid="2">
    <vt:lpwstr xmlns:vt="http://schemas.openxmlformats.org/officeDocument/2006/docPropsVTypes">true</vt:lpwstr>
  </property>
  <property name="MSIP_Label_ea60d57e-af5b-4752-ac57-3e4f28ca11dc_SetDate" fmtid="{D5CDD505-2E9C-101B-9397-08002B2CF9AE}" pid="3">
    <vt:lpwstr xmlns:vt="http://schemas.openxmlformats.org/officeDocument/2006/docPropsVTypes">2023-04-19T03:43:24Z</vt:lpwstr>
  </property>
  <property name="MSIP_Label_ea60d57e-af5b-4752-ac57-3e4f28ca11dc_Method" fmtid="{D5CDD505-2E9C-101B-9397-08002B2CF9AE}" pid="4">
    <vt:lpwstr xmlns:vt="http://schemas.openxmlformats.org/officeDocument/2006/docPropsVTypes">Standard</vt:lpwstr>
  </property>
  <property name="MSIP_Label_ea60d57e-af5b-4752-ac57-3e4f28ca11dc_Name" fmtid="{D5CDD505-2E9C-101B-9397-08002B2CF9AE}" pid="5">
    <vt:lpwstr xmlns:vt="http://schemas.openxmlformats.org/officeDocument/2006/docPropsVTypes">ea60d57e-af5b-4752-ac57-3e4f28ca11dc</vt:lpwstr>
  </property>
  <property name="MSIP_Label_ea60d57e-af5b-4752-ac57-3e4f28ca11dc_SiteId" fmtid="{D5CDD505-2E9C-101B-9397-08002B2CF9AE}" pid="6">
    <vt:lpwstr xmlns:vt="http://schemas.openxmlformats.org/officeDocument/2006/docPropsVTypes">36da45f1-dd2c-4d1f-af13-5abe46b99921</vt:lpwstr>
  </property>
  <property name="MSIP_Label_ea60d57e-af5b-4752-ac57-3e4f28ca11dc_ActionId" fmtid="{D5CDD505-2E9C-101B-9397-08002B2CF9AE}" pid="7">
    <vt:lpwstr xmlns:vt="http://schemas.openxmlformats.org/officeDocument/2006/docPropsVTypes">a9b4ecdb-42b7-4c0e-9317-2fa2e53e52cd</vt:lpwstr>
  </property>
  <property name="MSIP_Label_ea60d57e-af5b-4752-ac57-3e4f28ca11dc_ContentBits" fmtid="{D5CDD505-2E9C-101B-9397-08002B2CF9AE}" pid="8">
    <vt:lpwstr xmlns:vt="http://schemas.openxmlformats.org/officeDocument/2006/docPropsVTypes">0</vt:lpwstr>
  </property>
</Properties>
</file>